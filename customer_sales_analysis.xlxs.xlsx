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6158c48300a79c/Desktop/"/>
    </mc:Choice>
  </mc:AlternateContent>
  <xr:revisionPtr revIDLastSave="136" documentId="8_{84FB4FC5-692E-4DD3-BD15-198FAF51C02C}" xr6:coauthVersionLast="47" xr6:coauthVersionMax="47" xr10:uidLastSave="{3C792B0E-0DF0-474F-AA70-0E6DA56E8963}"/>
  <bookViews>
    <workbookView xWindow="-108" yWindow="-108" windowWidth="23256" windowHeight="12456" activeTab="4" xr2:uid="{47738CEE-47CC-41E7-9181-3FB44D94DCDD}"/>
  </bookViews>
  <sheets>
    <sheet name="customer_sales_1500_rows" sheetId="2" r:id="rId1"/>
    <sheet name="Summary" sheetId="1" r:id="rId2"/>
    <sheet name="Category Analysis" sheetId="3" r:id="rId3"/>
    <sheet name="Segment Analysis" sheetId="4" r:id="rId4"/>
    <sheet name="Monthly Trend" sheetId="5" r:id="rId5"/>
  </sheets>
  <definedNames>
    <definedName name="ExternalData_1" localSheetId="0" hidden="1">customer_sales_1500_rows!$A$1:$M$1501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B3" i="5"/>
  <c r="B4" i="5"/>
  <c r="B5" i="5"/>
  <c r="B6" i="5"/>
  <c r="B7" i="5"/>
  <c r="B8" i="5"/>
  <c r="B9" i="5"/>
  <c r="B10" i="5"/>
  <c r="B11" i="5"/>
  <c r="B12" i="5"/>
  <c r="B13" i="5"/>
  <c r="D2" i="5"/>
  <c r="C2" i="5"/>
  <c r="B2" i="5"/>
  <c r="F3" i="4"/>
  <c r="F4" i="4"/>
  <c r="B3" i="4"/>
  <c r="C3" i="4" a="1"/>
  <c r="C3" i="4" s="1"/>
  <c r="D3" i="4"/>
  <c r="G3" i="4" s="1"/>
  <c r="E3" i="4"/>
  <c r="B4" i="4"/>
  <c r="C4" i="4" a="1"/>
  <c r="C4" i="4" s="1"/>
  <c r="D4" i="4"/>
  <c r="G4" i="4" s="1"/>
  <c r="E4" i="4"/>
  <c r="C2" i="4" a="1"/>
  <c r="C2" i="4" s="1"/>
  <c r="D2" i="4"/>
  <c r="G2" i="4" s="1"/>
  <c r="E2" i="4"/>
  <c r="F2" i="4" s="1"/>
  <c r="B2" i="4"/>
  <c r="F3" i="3"/>
  <c r="F4" i="3"/>
  <c r="F5" i="3"/>
  <c r="F2" i="3"/>
  <c r="B3" i="3"/>
  <c r="C3" i="3"/>
  <c r="D3" i="3"/>
  <c r="E3" i="3"/>
  <c r="B4" i="3"/>
  <c r="C4" i="3"/>
  <c r="D4" i="3"/>
  <c r="E4" i="3"/>
  <c r="B5" i="3"/>
  <c r="C5" i="3"/>
  <c r="D5" i="3"/>
  <c r="E5" i="3"/>
  <c r="C2" i="3"/>
  <c r="D2" i="3"/>
  <c r="E2" i="3"/>
  <c r="B2" i="3"/>
  <c r="B8" i="1"/>
  <c r="B7" i="1"/>
  <c r="B6" i="1"/>
  <c r="B5" i="1"/>
  <c r="B4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FDFC7D-184E-4572-9714-8A3741D71822}" keepAlive="1" name="Query - customer_sales_1500_rows" description="Connection to the 'customer_sales_1500_rows' query in the workbook." type="5" refreshedVersion="8" background="1" saveData="1">
    <dbPr connection="Provider=Microsoft.Mashup.OleDb.1;Data Source=$Workbook$;Location=customer_sales_1500_rows;Extended Properties=&quot;&quot;" command="SELECT * FROM [customer_sales_1500_row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<sst xmlns="http://schemas.openxmlformats.org/spreadsheetml/2006/main" count="12056" uniqueCount="2355">
  <si>
    <t>Order_ID</t>
  </si>
  <si>
    <t>Order_Date</t>
  </si>
  <si>
    <t>Customer_ID</t>
  </si>
  <si>
    <t>Customer_Name</t>
  </si>
  <si>
    <t>Region</t>
  </si>
  <si>
    <t>Segment</t>
  </si>
  <si>
    <t>Category</t>
  </si>
  <si>
    <t>Product</t>
  </si>
  <si>
    <t>Quantity</t>
  </si>
  <si>
    <t>Sales</t>
  </si>
  <si>
    <t>Discount</t>
  </si>
  <si>
    <t>Profit</t>
  </si>
  <si>
    <t>Payment_Mode</t>
  </si>
  <si>
    <t>ORD00001</t>
  </si>
  <si>
    <t>CUST0379</t>
  </si>
  <si>
    <t>Customer 0379</t>
  </si>
  <si>
    <t>West</t>
  </si>
  <si>
    <t>Small Business</t>
  </si>
  <si>
    <t>Office Supplies</t>
  </si>
  <si>
    <t>Office Chair</t>
  </si>
  <si>
    <t>Net Banking</t>
  </si>
  <si>
    <t>ORD00002</t>
  </si>
  <si>
    <t>CUST0359</t>
  </si>
  <si>
    <t>Customer 0359</t>
  </si>
  <si>
    <t>North</t>
  </si>
  <si>
    <t>Consumer</t>
  </si>
  <si>
    <t>Accessories</t>
  </si>
  <si>
    <t>USB Hub</t>
  </si>
  <si>
    <t>UPI</t>
  </si>
  <si>
    <t>ORD00003</t>
  </si>
  <si>
    <t>CUST0193</t>
  </si>
  <si>
    <t>Customer 0193</t>
  </si>
  <si>
    <t>Technology</t>
  </si>
  <si>
    <t>Laptop</t>
  </si>
  <si>
    <t>ORD00004</t>
  </si>
  <si>
    <t>CUST0198</t>
  </si>
  <si>
    <t>Customer 0198</t>
  </si>
  <si>
    <t>East</t>
  </si>
  <si>
    <t>Mouse</t>
  </si>
  <si>
    <t>Cash</t>
  </si>
  <si>
    <t>ORD00005</t>
  </si>
  <si>
    <t>CUST0243</t>
  </si>
  <si>
    <t>Customer 0243</t>
  </si>
  <si>
    <t>South</t>
  </si>
  <si>
    <t>Furniture</t>
  </si>
  <si>
    <t>Office Sofa</t>
  </si>
  <si>
    <t>ORD00006</t>
  </si>
  <si>
    <t>CUST0009</t>
  </si>
  <si>
    <t>Customer 0009</t>
  </si>
  <si>
    <t>Backpack</t>
  </si>
  <si>
    <t>Debit Card</t>
  </si>
  <si>
    <t>ORD00007</t>
  </si>
  <si>
    <t>CUST0269</t>
  </si>
  <si>
    <t>Customer 0269</t>
  </si>
  <si>
    <t>Keyboard</t>
  </si>
  <si>
    <t>Credit Card</t>
  </si>
  <si>
    <t>ORD00008</t>
  </si>
  <si>
    <t>CUST0137</t>
  </si>
  <si>
    <t>Customer 0137</t>
  </si>
  <si>
    <t>Printer</t>
  </si>
  <si>
    <t>ORD00009</t>
  </si>
  <si>
    <t>CUST0389</t>
  </si>
  <si>
    <t>Customer 0389</t>
  </si>
  <si>
    <t>ORD00010</t>
  </si>
  <si>
    <t>CUST0224</t>
  </si>
  <si>
    <t>Customer 0224</t>
  </si>
  <si>
    <t>ORD00011</t>
  </si>
  <si>
    <t>CUST0336</t>
  </si>
  <si>
    <t>Customer 0336</t>
  </si>
  <si>
    <t>Corporate</t>
  </si>
  <si>
    <t>Conference Table</t>
  </si>
  <si>
    <t>ORD00012</t>
  </si>
  <si>
    <t>CUST0007</t>
  </si>
  <si>
    <t>Customer 0007</t>
  </si>
  <si>
    <t>Central</t>
  </si>
  <si>
    <t>Cabinet</t>
  </si>
  <si>
    <t>ORD00013</t>
  </si>
  <si>
    <t>CUST0356</t>
  </si>
  <si>
    <t>Customer 0356</t>
  </si>
  <si>
    <t>Monitor</t>
  </si>
  <si>
    <t>ORD00014</t>
  </si>
  <si>
    <t>CUST0188</t>
  </si>
  <si>
    <t>Customer 0188</t>
  </si>
  <si>
    <t>ORD00015</t>
  </si>
  <si>
    <t>CUST0060</t>
  </si>
  <si>
    <t>Customer 0060</t>
  </si>
  <si>
    <t>Headset</t>
  </si>
  <si>
    <t>ORD00016</t>
  </si>
  <si>
    <t>CUST0394</t>
  </si>
  <si>
    <t>Customer 0394</t>
  </si>
  <si>
    <t>Desk</t>
  </si>
  <si>
    <t>ORD00017</t>
  </si>
  <si>
    <t>CUST0381</t>
  </si>
  <si>
    <t>Customer 0381</t>
  </si>
  <si>
    <t>ORD00018</t>
  </si>
  <si>
    <t>CUST0285</t>
  </si>
  <si>
    <t>Customer 0285</t>
  </si>
  <si>
    <t>Pen Set</t>
  </si>
  <si>
    <t>ORD00019</t>
  </si>
  <si>
    <t>CUST0022</t>
  </si>
  <si>
    <t>Customer 0022</t>
  </si>
  <si>
    <t>ORD00020</t>
  </si>
  <si>
    <t>CUST0262</t>
  </si>
  <si>
    <t>Customer 0262</t>
  </si>
  <si>
    <t>ORD00021</t>
  </si>
  <si>
    <t>CUST0281</t>
  </si>
  <si>
    <t>Customer 0281</t>
  </si>
  <si>
    <t>ORD00022</t>
  </si>
  <si>
    <t>CUST0199</t>
  </si>
  <si>
    <t>Customer 0199</t>
  </si>
  <si>
    <t>ORD00023</t>
  </si>
  <si>
    <t>CUST0382</t>
  </si>
  <si>
    <t>Customer 0382</t>
  </si>
  <si>
    <t>ORD00024</t>
  </si>
  <si>
    <t>CUST0064</t>
  </si>
  <si>
    <t>Customer 0064</t>
  </si>
  <si>
    <t>ORD00025</t>
  </si>
  <si>
    <t>CUST0289</t>
  </si>
  <si>
    <t>Customer 0289</t>
  </si>
  <si>
    <t>ORD00026</t>
  </si>
  <si>
    <t>CUST0148</t>
  </si>
  <si>
    <t>Customer 0148</t>
  </si>
  <si>
    <t>File Folder</t>
  </si>
  <si>
    <t>ORD00027</t>
  </si>
  <si>
    <t>CUST0166</t>
  </si>
  <si>
    <t>Customer 0166</t>
  </si>
  <si>
    <t>ORD00028</t>
  </si>
  <si>
    <t>CUST0390</t>
  </si>
  <si>
    <t>Customer 0390</t>
  </si>
  <si>
    <t>ORD00029</t>
  </si>
  <si>
    <t>CUST0318</t>
  </si>
  <si>
    <t>Customer 0318</t>
  </si>
  <si>
    <t>ORD00030</t>
  </si>
  <si>
    <t>CUST0362</t>
  </si>
  <si>
    <t>Customer 0362</t>
  </si>
  <si>
    <t>ORD00031</t>
  </si>
  <si>
    <t>CUST0173</t>
  </si>
  <si>
    <t>Customer 0173</t>
  </si>
  <si>
    <t>ORD00032</t>
  </si>
  <si>
    <t>CUST0059</t>
  </si>
  <si>
    <t>Customer 0059</t>
  </si>
  <si>
    <t>Notebook</t>
  </si>
  <si>
    <t>ORD00033</t>
  </si>
  <si>
    <t>CUST0159</t>
  </si>
  <si>
    <t>Customer 0159</t>
  </si>
  <si>
    <t>Desk Organizer</t>
  </si>
  <si>
    <t>ORD00034</t>
  </si>
  <si>
    <t>CUST0250</t>
  </si>
  <si>
    <t>Customer 0250</t>
  </si>
  <si>
    <t>ORD00035</t>
  </si>
  <si>
    <t>CUST0268</t>
  </si>
  <si>
    <t>Customer 0268</t>
  </si>
  <si>
    <t>ORD00036</t>
  </si>
  <si>
    <t>CUST0014</t>
  </si>
  <si>
    <t>Customer 0014</t>
  </si>
  <si>
    <t>Bookshelf</t>
  </si>
  <si>
    <t>ORD00037</t>
  </si>
  <si>
    <t>CUST0084</t>
  </si>
  <si>
    <t>Customer 0084</t>
  </si>
  <si>
    <t>ORD00038</t>
  </si>
  <si>
    <t>CUST0301</t>
  </si>
  <si>
    <t>Customer 0301</t>
  </si>
  <si>
    <t>ORD00039</t>
  </si>
  <si>
    <t>CUST0133</t>
  </si>
  <si>
    <t>Customer 0133</t>
  </si>
  <si>
    <t>ORD00040</t>
  </si>
  <si>
    <t>CUST0165</t>
  </si>
  <si>
    <t>Customer 0165</t>
  </si>
  <si>
    <t>ORD00041</t>
  </si>
  <si>
    <t>CUST0293</t>
  </si>
  <si>
    <t>Customer 0293</t>
  </si>
  <si>
    <t>ORD00042</t>
  </si>
  <si>
    <t>CUST0276</t>
  </si>
  <si>
    <t>Customer 0276</t>
  </si>
  <si>
    <t>ORD00043</t>
  </si>
  <si>
    <t>CUST0294</t>
  </si>
  <si>
    <t>Customer 0294</t>
  </si>
  <si>
    <t>ORD00044</t>
  </si>
  <si>
    <t>CUST0352</t>
  </si>
  <si>
    <t>Customer 0352</t>
  </si>
  <si>
    <t>ORD00045</t>
  </si>
  <si>
    <t>CUST0076</t>
  </si>
  <si>
    <t>Customer 0076</t>
  </si>
  <si>
    <t>ORD00046</t>
  </si>
  <si>
    <t>CUST0220</t>
  </si>
  <si>
    <t>Customer 0220</t>
  </si>
  <si>
    <t>ORD00047</t>
  </si>
  <si>
    <t>CUST0098</t>
  </si>
  <si>
    <t>Customer 0098</t>
  </si>
  <si>
    <t>ORD00048</t>
  </si>
  <si>
    <t>CUST0344</t>
  </si>
  <si>
    <t>Customer 0344</t>
  </si>
  <si>
    <t>ORD00049</t>
  </si>
  <si>
    <t>CUST0305</t>
  </si>
  <si>
    <t>Customer 0305</t>
  </si>
  <si>
    <t>ORD00050</t>
  </si>
  <si>
    <t>CUST0085</t>
  </si>
  <si>
    <t>Customer 0085</t>
  </si>
  <si>
    <t>ORD00051</t>
  </si>
  <si>
    <t>CUST0228</t>
  </si>
  <si>
    <t>Customer 0228</t>
  </si>
  <si>
    <t>ORD00052</t>
  </si>
  <si>
    <t>CUST0051</t>
  </si>
  <si>
    <t>Customer 0051</t>
  </si>
  <si>
    <t>ORD00053</t>
  </si>
  <si>
    <t>CUST0239</t>
  </si>
  <si>
    <t>Customer 0239</t>
  </si>
  <si>
    <t>ORD00054</t>
  </si>
  <si>
    <t>CUST0074</t>
  </si>
  <si>
    <t>Customer 0074</t>
  </si>
  <si>
    <t>ORD00055</t>
  </si>
  <si>
    <t>CUST0376</t>
  </si>
  <si>
    <t>Customer 0376</t>
  </si>
  <si>
    <t>ORD00056</t>
  </si>
  <si>
    <t>CUST0121</t>
  </si>
  <si>
    <t>Customer 0121</t>
  </si>
  <si>
    <t>ORD00057</t>
  </si>
  <si>
    <t>CUST0146</t>
  </si>
  <si>
    <t>Customer 0146</t>
  </si>
  <si>
    <t>ORD00058</t>
  </si>
  <si>
    <t>CUST0150</t>
  </si>
  <si>
    <t>Customer 0150</t>
  </si>
  <si>
    <t>ORD00059</t>
  </si>
  <si>
    <t>CUST0320</t>
  </si>
  <si>
    <t>Customer 0320</t>
  </si>
  <si>
    <t>ORD00060</t>
  </si>
  <si>
    <t>CUST0302</t>
  </si>
  <si>
    <t>Customer 0302</t>
  </si>
  <si>
    <t>ORD00061</t>
  </si>
  <si>
    <t>CUST0073</t>
  </si>
  <si>
    <t>Customer 0073</t>
  </si>
  <si>
    <t>Webcam</t>
  </si>
  <si>
    <t>ORD00062</t>
  </si>
  <si>
    <t>CUST0160</t>
  </si>
  <si>
    <t>Customer 0160</t>
  </si>
  <si>
    <t>ORD00063</t>
  </si>
  <si>
    <t>CUST0102</t>
  </si>
  <si>
    <t>Customer 0102</t>
  </si>
  <si>
    <t>ORD00064</t>
  </si>
  <si>
    <t>CUST0311</t>
  </si>
  <si>
    <t>Customer 0311</t>
  </si>
  <si>
    <t>ORD00065</t>
  </si>
  <si>
    <t>CUST0279</t>
  </si>
  <si>
    <t>Customer 0279</t>
  </si>
  <si>
    <t>Power Bank</t>
  </si>
  <si>
    <t>ORD00066</t>
  </si>
  <si>
    <t>CUST0231</t>
  </si>
  <si>
    <t>Customer 0231</t>
  </si>
  <si>
    <t>ORD00067</t>
  </si>
  <si>
    <t>CUST0341</t>
  </si>
  <si>
    <t>Customer 0341</t>
  </si>
  <si>
    <t>ORD00068</t>
  </si>
  <si>
    <t>CUST0143</t>
  </si>
  <si>
    <t>Customer 0143</t>
  </si>
  <si>
    <t>ORD00069</t>
  </si>
  <si>
    <t>CUST0158</t>
  </si>
  <si>
    <t>Customer 0158</t>
  </si>
  <si>
    <t>ORD00070</t>
  </si>
  <si>
    <t>CUST0206</t>
  </si>
  <si>
    <t>Customer 0206</t>
  </si>
  <si>
    <t>ORD00071</t>
  </si>
  <si>
    <t>CUST0387</t>
  </si>
  <si>
    <t>Customer 0387</t>
  </si>
  <si>
    <t>ORD00072</t>
  </si>
  <si>
    <t>CUST0288</t>
  </si>
  <si>
    <t>Customer 0288</t>
  </si>
  <si>
    <t>ORD00073</t>
  </si>
  <si>
    <t>CUST0151</t>
  </si>
  <si>
    <t>Customer 0151</t>
  </si>
  <si>
    <t>ORD00074</t>
  </si>
  <si>
    <t>CUST0083</t>
  </si>
  <si>
    <t>Customer 0083</t>
  </si>
  <si>
    <t>ORD00075</t>
  </si>
  <si>
    <t>CUST0103</t>
  </si>
  <si>
    <t>Customer 0103</t>
  </si>
  <si>
    <t>ORD00076</t>
  </si>
  <si>
    <t>CUST0116</t>
  </si>
  <si>
    <t>Customer 0116</t>
  </si>
  <si>
    <t>ORD00077</t>
  </si>
  <si>
    <t>CUST0062</t>
  </si>
  <si>
    <t>Customer 0062</t>
  </si>
  <si>
    <t>ORD00078</t>
  </si>
  <si>
    <t>CUST0213</t>
  </si>
  <si>
    <t>Customer 0213</t>
  </si>
  <si>
    <t>ORD00079</t>
  </si>
  <si>
    <t>CUST0282</t>
  </si>
  <si>
    <t>Customer 0282</t>
  </si>
  <si>
    <t>ORD00080</t>
  </si>
  <si>
    <t>CUST0021</t>
  </si>
  <si>
    <t>Customer 0021</t>
  </si>
  <si>
    <t>ORD00081</t>
  </si>
  <si>
    <t>CUST0010</t>
  </si>
  <si>
    <t>Customer 0010</t>
  </si>
  <si>
    <t>ORD00082</t>
  </si>
  <si>
    <t>CUST0343</t>
  </si>
  <si>
    <t>Customer 0343</t>
  </si>
  <si>
    <t>ORD00083</t>
  </si>
  <si>
    <t>CUST0385</t>
  </si>
  <si>
    <t>Customer 0385</t>
  </si>
  <si>
    <t>ORD00084</t>
  </si>
  <si>
    <t>CUST0399</t>
  </si>
  <si>
    <t>Customer 0399</t>
  </si>
  <si>
    <t>ORD00085</t>
  </si>
  <si>
    <t>CUST0337</t>
  </si>
  <si>
    <t>Customer 0337</t>
  </si>
  <si>
    <t>ORD00086</t>
  </si>
  <si>
    <t>CUST0217</t>
  </si>
  <si>
    <t>Customer 0217</t>
  </si>
  <si>
    <t>ORD00087</t>
  </si>
  <si>
    <t>CUST0226</t>
  </si>
  <si>
    <t>Customer 0226</t>
  </si>
  <si>
    <t>ORD00088</t>
  </si>
  <si>
    <t>CUST0278</t>
  </si>
  <si>
    <t>Customer 0278</t>
  </si>
  <si>
    <t>ORD00089</t>
  </si>
  <si>
    <t>ORD00090</t>
  </si>
  <si>
    <t>ORD00091</t>
  </si>
  <si>
    <t>CUST0050</t>
  </si>
  <si>
    <t>Customer 0050</t>
  </si>
  <si>
    <t>ORD00092</t>
  </si>
  <si>
    <t>CUST0023</t>
  </si>
  <si>
    <t>Customer 0023</t>
  </si>
  <si>
    <t>ORD00093</t>
  </si>
  <si>
    <t>CUST0003</t>
  </si>
  <si>
    <t>Customer 0003</t>
  </si>
  <si>
    <t>ORD00094</t>
  </si>
  <si>
    <t>CUST0112</t>
  </si>
  <si>
    <t>Customer 0112</t>
  </si>
  <si>
    <t>ORD00095</t>
  </si>
  <si>
    <t>CUST0377</t>
  </si>
  <si>
    <t>Customer 0377</t>
  </si>
  <si>
    <t>ORD00096</t>
  </si>
  <si>
    <t>CUST0024</t>
  </si>
  <si>
    <t>Customer 0024</t>
  </si>
  <si>
    <t>ORD00097</t>
  </si>
  <si>
    <t>CUST0057</t>
  </si>
  <si>
    <t>Customer 0057</t>
  </si>
  <si>
    <t>ORD00098</t>
  </si>
  <si>
    <t>CUST0388</t>
  </si>
  <si>
    <t>Customer 0388</t>
  </si>
  <si>
    <t>ORD00099</t>
  </si>
  <si>
    <t>ORD00100</t>
  </si>
  <si>
    <t>CUST0319</t>
  </si>
  <si>
    <t>Customer 0319</t>
  </si>
  <si>
    <t>ORD00101</t>
  </si>
  <si>
    <t>ORD00102</t>
  </si>
  <si>
    <t>CUST0107</t>
  </si>
  <si>
    <t>Customer 0107</t>
  </si>
  <si>
    <t>ORD00103</t>
  </si>
  <si>
    <t>CUST0069</t>
  </si>
  <si>
    <t>Customer 0069</t>
  </si>
  <si>
    <t>ORD00104</t>
  </si>
  <si>
    <t>CUST0129</t>
  </si>
  <si>
    <t>Customer 0129</t>
  </si>
  <si>
    <t>ORD00105</t>
  </si>
  <si>
    <t>CUST0036</t>
  </si>
  <si>
    <t>Customer 0036</t>
  </si>
  <si>
    <t>ORD00106</t>
  </si>
  <si>
    <t>ORD00107</t>
  </si>
  <si>
    <t>CUST0178</t>
  </si>
  <si>
    <t>Customer 0178</t>
  </si>
  <si>
    <t>ORD00108</t>
  </si>
  <si>
    <t>ORD00109</t>
  </si>
  <si>
    <t>CUST0161</t>
  </si>
  <si>
    <t>Customer 0161</t>
  </si>
  <si>
    <t>ORD00110</t>
  </si>
  <si>
    <t>CUST0043</t>
  </si>
  <si>
    <t>Customer 0043</t>
  </si>
  <si>
    <t>ORD00111</t>
  </si>
  <si>
    <t>CUST0066</t>
  </si>
  <si>
    <t>Customer 0066</t>
  </si>
  <si>
    <t>ORD00112</t>
  </si>
  <si>
    <t>ORD00113</t>
  </si>
  <si>
    <t>CUST0092</t>
  </si>
  <si>
    <t>Customer 0092</t>
  </si>
  <si>
    <t>ORD00114</t>
  </si>
  <si>
    <t>CUST0044</t>
  </si>
  <si>
    <t>Customer 0044</t>
  </si>
  <si>
    <t>ORD00115</t>
  </si>
  <si>
    <t>CUST0267</t>
  </si>
  <si>
    <t>Customer 0267</t>
  </si>
  <si>
    <t>ORD00116</t>
  </si>
  <si>
    <t>CUST0042</t>
  </si>
  <si>
    <t>Customer 0042</t>
  </si>
  <si>
    <t>ORD00117</t>
  </si>
  <si>
    <t>ORD00118</t>
  </si>
  <si>
    <t>CUST0063</t>
  </si>
  <si>
    <t>Customer 0063</t>
  </si>
  <si>
    <t>ORD00119</t>
  </si>
  <si>
    <t>CUST0325</t>
  </si>
  <si>
    <t>Customer 0325</t>
  </si>
  <si>
    <t>ORD00120</t>
  </si>
  <si>
    <t>CUST0265</t>
  </si>
  <si>
    <t>Customer 0265</t>
  </si>
  <si>
    <t>ORD00121</t>
  </si>
  <si>
    <t>CUST0216</t>
  </si>
  <si>
    <t>Customer 0216</t>
  </si>
  <si>
    <t>ORD00122</t>
  </si>
  <si>
    <t>CUST0041</t>
  </si>
  <si>
    <t>Customer 0041</t>
  </si>
  <si>
    <t>ORD00123</t>
  </si>
  <si>
    <t>ORD00124</t>
  </si>
  <si>
    <t>CUST0247</t>
  </si>
  <si>
    <t>Customer 0247</t>
  </si>
  <si>
    <t>ORD00125</t>
  </si>
  <si>
    <t>ORD00126</t>
  </si>
  <si>
    <t>CUST0219</t>
  </si>
  <si>
    <t>Customer 0219</t>
  </si>
  <si>
    <t>ORD00127</t>
  </si>
  <si>
    <t>ORD00128</t>
  </si>
  <si>
    <t>CUST0284</t>
  </si>
  <si>
    <t>Customer 0284</t>
  </si>
  <si>
    <t>ORD00129</t>
  </si>
  <si>
    <t>CUST0286</t>
  </si>
  <si>
    <t>Customer 0286</t>
  </si>
  <si>
    <t>ORD00130</t>
  </si>
  <si>
    <t>CUST0196</t>
  </si>
  <si>
    <t>Customer 0196</t>
  </si>
  <si>
    <t>ORD00131</t>
  </si>
  <si>
    <t>ORD00132</t>
  </si>
  <si>
    <t>CUST0172</t>
  </si>
  <si>
    <t>Customer 0172</t>
  </si>
  <si>
    <t>ORD00133</t>
  </si>
  <si>
    <t>ORD00134</t>
  </si>
  <si>
    <t>CUST0307</t>
  </si>
  <si>
    <t>Customer 0307</t>
  </si>
  <si>
    <t>ORD00135</t>
  </si>
  <si>
    <t>CUST0194</t>
  </si>
  <si>
    <t>Customer 0194</t>
  </si>
  <si>
    <t>ORD00136</t>
  </si>
  <si>
    <t>ORD00137</t>
  </si>
  <si>
    <t>CUST0237</t>
  </si>
  <si>
    <t>Customer 0237</t>
  </si>
  <si>
    <t>ORD00138</t>
  </si>
  <si>
    <t>CUST0245</t>
  </si>
  <si>
    <t>Customer 0245</t>
  </si>
  <si>
    <t>ORD00139</t>
  </si>
  <si>
    <t>ORD00140</t>
  </si>
  <si>
    <t>CUST0168</t>
  </si>
  <si>
    <t>Customer 0168</t>
  </si>
  <si>
    <t>ORD00141</t>
  </si>
  <si>
    <t>ORD00142</t>
  </si>
  <si>
    <t>ORD00143</t>
  </si>
  <si>
    <t>CUST0258</t>
  </si>
  <si>
    <t>Customer 0258</t>
  </si>
  <si>
    <t>ORD00144</t>
  </si>
  <si>
    <t>CUST0039</t>
  </si>
  <si>
    <t>Customer 0039</t>
  </si>
  <si>
    <t>ORD00145</t>
  </si>
  <si>
    <t>ORD00146</t>
  </si>
  <si>
    <t>ORD00147</t>
  </si>
  <si>
    <t>CUST0354</t>
  </si>
  <si>
    <t>Customer 0354</t>
  </si>
  <si>
    <t>ORD00148</t>
  </si>
  <si>
    <t>CUST0380</t>
  </si>
  <si>
    <t>Customer 0380</t>
  </si>
  <si>
    <t>ORD00149</t>
  </si>
  <si>
    <t>CUST0157</t>
  </si>
  <si>
    <t>Customer 0157</t>
  </si>
  <si>
    <t>ORD00150</t>
  </si>
  <si>
    <t>CUST0392</t>
  </si>
  <si>
    <t>Customer 0392</t>
  </si>
  <si>
    <t>ORD00151</t>
  </si>
  <si>
    <t>CUST0067</t>
  </si>
  <si>
    <t>Customer 0067</t>
  </si>
  <si>
    <t>ORD00152</t>
  </si>
  <si>
    <t>CUST0125</t>
  </si>
  <si>
    <t>Customer 0125</t>
  </si>
  <si>
    <t>ORD00153</t>
  </si>
  <si>
    <t>CUST0201</t>
  </si>
  <si>
    <t>Customer 0201</t>
  </si>
  <si>
    <t>ORD00154</t>
  </si>
  <si>
    <t>CUST0162</t>
  </si>
  <si>
    <t>Customer 0162</t>
  </si>
  <si>
    <t>ORD00155</t>
  </si>
  <si>
    <t>ORD00156</t>
  </si>
  <si>
    <t>CUST0273</t>
  </si>
  <si>
    <t>Customer 0273</t>
  </si>
  <si>
    <t>ORD00157</t>
  </si>
  <si>
    <t>CUST0145</t>
  </si>
  <si>
    <t>Customer 0145</t>
  </si>
  <si>
    <t>ORD00158</t>
  </si>
  <si>
    <t>CUST0005</t>
  </si>
  <si>
    <t>Customer 0005</t>
  </si>
  <si>
    <t>ORD00159</t>
  </si>
  <si>
    <t>CUST0308</t>
  </si>
  <si>
    <t>Customer 0308</t>
  </si>
  <si>
    <t>ORD00160</t>
  </si>
  <si>
    <t>CUST0242</t>
  </si>
  <si>
    <t>Customer 0242</t>
  </si>
  <si>
    <t>ORD00161</t>
  </si>
  <si>
    <t>CUST0328</t>
  </si>
  <si>
    <t>Customer 0328</t>
  </si>
  <si>
    <t>ORD00162</t>
  </si>
  <si>
    <t>CUST0189</t>
  </si>
  <si>
    <t>Customer 0189</t>
  </si>
  <si>
    <t>ORD00163</t>
  </si>
  <si>
    <t>ORD00164</t>
  </si>
  <si>
    <t>CUST0065</t>
  </si>
  <si>
    <t>Customer 0065</t>
  </si>
  <si>
    <t>ORD00165</t>
  </si>
  <si>
    <t>CUST0164</t>
  </si>
  <si>
    <t>Customer 0164</t>
  </si>
  <si>
    <t>ORD00166</t>
  </si>
  <si>
    <t>CUST0398</t>
  </si>
  <si>
    <t>Customer 0398</t>
  </si>
  <si>
    <t>ORD00167</t>
  </si>
  <si>
    <t>CUST0234</t>
  </si>
  <si>
    <t>Customer 0234</t>
  </si>
  <si>
    <t>ORD00168</t>
  </si>
  <si>
    <t>CUST0118</t>
  </si>
  <si>
    <t>Customer 0118</t>
  </si>
  <si>
    <t>ORD00169</t>
  </si>
  <si>
    <t>ORD00170</t>
  </si>
  <si>
    <t>ORD00171</t>
  </si>
  <si>
    <t>CUST0012</t>
  </si>
  <si>
    <t>Customer 0012</t>
  </si>
  <si>
    <t>ORD00172</t>
  </si>
  <si>
    <t>CUST0349</t>
  </si>
  <si>
    <t>Customer 0349</t>
  </si>
  <si>
    <t>ORD00173</t>
  </si>
  <si>
    <t>CUST0139</t>
  </si>
  <si>
    <t>Customer 0139</t>
  </si>
  <si>
    <t>ORD00174</t>
  </si>
  <si>
    <t>CUST0177</t>
  </si>
  <si>
    <t>Customer 0177</t>
  </si>
  <si>
    <t>ORD00175</t>
  </si>
  <si>
    <t>CUST0175</t>
  </si>
  <si>
    <t>Customer 0175</t>
  </si>
  <si>
    <t>ORD00176</t>
  </si>
  <si>
    <t>CUST0340</t>
  </si>
  <si>
    <t>Customer 0340</t>
  </si>
  <si>
    <t>ORD00177</t>
  </si>
  <si>
    <t>CUST0256</t>
  </si>
  <si>
    <t>Customer 0256</t>
  </si>
  <si>
    <t>ORD00178</t>
  </si>
  <si>
    <t>CUST0329</t>
  </si>
  <si>
    <t>Customer 0329</t>
  </si>
  <si>
    <t>ORD00179</t>
  </si>
  <si>
    <t>ORD00180</t>
  </si>
  <si>
    <t>CUST0313</t>
  </si>
  <si>
    <t>Customer 0313</t>
  </si>
  <si>
    <t>ORD00181</t>
  </si>
  <si>
    <t>ORD00182</t>
  </si>
  <si>
    <t>ORD00183</t>
  </si>
  <si>
    <t>CUST0283</t>
  </si>
  <si>
    <t>Customer 0283</t>
  </si>
  <si>
    <t>ORD00184</t>
  </si>
  <si>
    <t>ORD00185</t>
  </si>
  <si>
    <t>ORD00186</t>
  </si>
  <si>
    <t>CUST0079</t>
  </si>
  <si>
    <t>Customer 0079</t>
  </si>
  <si>
    <t>ORD00187</t>
  </si>
  <si>
    <t>ORD00188</t>
  </si>
  <si>
    <t>CUST0339</t>
  </si>
  <si>
    <t>Customer 0339</t>
  </si>
  <si>
    <t>ORD00189</t>
  </si>
  <si>
    <t>ORD00190</t>
  </si>
  <si>
    <t>CUST0361</t>
  </si>
  <si>
    <t>Customer 0361</t>
  </si>
  <si>
    <t>ORD00191</t>
  </si>
  <si>
    <t>CUST0078</t>
  </si>
  <si>
    <t>Customer 0078</t>
  </si>
  <si>
    <t>ORD00192</t>
  </si>
  <si>
    <t>CUST0333</t>
  </si>
  <si>
    <t>Customer 0333</t>
  </si>
  <si>
    <t>ORD00193</t>
  </si>
  <si>
    <t>CUST0332</t>
  </si>
  <si>
    <t>Customer 0332</t>
  </si>
  <si>
    <t>ORD00194</t>
  </si>
  <si>
    <t>ORD00195</t>
  </si>
  <si>
    <t>CUST0094</t>
  </si>
  <si>
    <t>Customer 0094</t>
  </si>
  <si>
    <t>ORD00196</t>
  </si>
  <si>
    <t>CUST0156</t>
  </si>
  <si>
    <t>Customer 0156</t>
  </si>
  <si>
    <t>ORD00197</t>
  </si>
  <si>
    <t>CUST0155</t>
  </si>
  <si>
    <t>Customer 0155</t>
  </si>
  <si>
    <t>ORD00198</t>
  </si>
  <si>
    <t>CUST0093</t>
  </si>
  <si>
    <t>Customer 0093</t>
  </si>
  <si>
    <t>ORD00199</t>
  </si>
  <si>
    <t>CUST0274</t>
  </si>
  <si>
    <t>Customer 0274</t>
  </si>
  <si>
    <t>ORD00200</t>
  </si>
  <si>
    <t>ORD00201</t>
  </si>
  <si>
    <t>CUST0068</t>
  </si>
  <si>
    <t>Customer 0068</t>
  </si>
  <si>
    <t>ORD00202</t>
  </si>
  <si>
    <t>CUST0040</t>
  </si>
  <si>
    <t>Customer 0040</t>
  </si>
  <si>
    <t>ORD00203</t>
  </si>
  <si>
    <t>ORD00204</t>
  </si>
  <si>
    <t>ORD00205</t>
  </si>
  <si>
    <t>CUST0248</t>
  </si>
  <si>
    <t>Customer 0248</t>
  </si>
  <si>
    <t>ORD00206</t>
  </si>
  <si>
    <t>ORD00207</t>
  </si>
  <si>
    <t>ORD00208</t>
  </si>
  <si>
    <t>ORD00209</t>
  </si>
  <si>
    <t>CUST0202</t>
  </si>
  <si>
    <t>Customer 0202</t>
  </si>
  <si>
    <t>ORD00210</t>
  </si>
  <si>
    <t>CUST0123</t>
  </si>
  <si>
    <t>Customer 0123</t>
  </si>
  <si>
    <t>ORD00211</t>
  </si>
  <si>
    <t>ORD00212</t>
  </si>
  <si>
    <t>ORD00213</t>
  </si>
  <si>
    <t>CUST0032</t>
  </si>
  <si>
    <t>Customer 0032</t>
  </si>
  <si>
    <t>ORD00214</t>
  </si>
  <si>
    <t>ORD00215</t>
  </si>
  <si>
    <t>CUST0240</t>
  </si>
  <si>
    <t>Customer 0240</t>
  </si>
  <si>
    <t>ORD00216</t>
  </si>
  <si>
    <t>ORD00217</t>
  </si>
  <si>
    <t>CUST0210</t>
  </si>
  <si>
    <t>Customer 0210</t>
  </si>
  <si>
    <t>ORD00218</t>
  </si>
  <si>
    <t>ORD00219</t>
  </si>
  <si>
    <t>CUST0047</t>
  </si>
  <si>
    <t>Customer 0047</t>
  </si>
  <si>
    <t>ORD00220</t>
  </si>
  <si>
    <t>CUST0029</t>
  </si>
  <si>
    <t>Customer 0029</t>
  </si>
  <si>
    <t>ORD00221</t>
  </si>
  <si>
    <t>ORD00222</t>
  </si>
  <si>
    <t>CUST0345</t>
  </si>
  <si>
    <t>Customer 0345</t>
  </si>
  <si>
    <t>ORD00223</t>
  </si>
  <si>
    <t>ORD00224</t>
  </si>
  <si>
    <t>CUST0266</t>
  </si>
  <si>
    <t>Customer 0266</t>
  </si>
  <si>
    <t>ORD00225</t>
  </si>
  <si>
    <t>ORD00226</t>
  </si>
  <si>
    <t>ORD00227</t>
  </si>
  <si>
    <t>CUST0330</t>
  </si>
  <si>
    <t>Customer 0330</t>
  </si>
  <si>
    <t>ORD00228</t>
  </si>
  <si>
    <t>ORD00229</t>
  </si>
  <si>
    <t>ORD00230</t>
  </si>
  <si>
    <t>ORD00231</t>
  </si>
  <si>
    <t>CUST0174</t>
  </si>
  <si>
    <t>Customer 0174</t>
  </si>
  <si>
    <t>ORD00232</t>
  </si>
  <si>
    <t>ORD00233</t>
  </si>
  <si>
    <t>ORD00234</t>
  </si>
  <si>
    <t>CUST0186</t>
  </si>
  <si>
    <t>Customer 0186</t>
  </si>
  <si>
    <t>ORD00235</t>
  </si>
  <si>
    <t>ORD00236</t>
  </si>
  <si>
    <t>CUST0291</t>
  </si>
  <si>
    <t>Customer 0291</t>
  </si>
  <si>
    <t>ORD00237</t>
  </si>
  <si>
    <t>CUST0052</t>
  </si>
  <si>
    <t>Customer 0052</t>
  </si>
  <si>
    <t>ORD00238</t>
  </si>
  <si>
    <t>CUST0295</t>
  </si>
  <si>
    <t>Customer 0295</t>
  </si>
  <si>
    <t>ORD00239</t>
  </si>
  <si>
    <t>CUST0087</t>
  </si>
  <si>
    <t>Customer 0087</t>
  </si>
  <si>
    <t>ORD00240</t>
  </si>
  <si>
    <t>ORD00241</t>
  </si>
  <si>
    <t>CUST0209</t>
  </si>
  <si>
    <t>Customer 0209</t>
  </si>
  <si>
    <t>ORD00242</t>
  </si>
  <si>
    <t>CUST0011</t>
  </si>
  <si>
    <t>Customer 0011</t>
  </si>
  <si>
    <t>ORD00243</t>
  </si>
  <si>
    <t>CUST0019</t>
  </si>
  <si>
    <t>Customer 0019</t>
  </si>
  <si>
    <t>ORD00244</t>
  </si>
  <si>
    <t>CUST0048</t>
  </si>
  <si>
    <t>Customer 0048</t>
  </si>
  <si>
    <t>ORD00245</t>
  </si>
  <si>
    <t>ORD00246</t>
  </si>
  <si>
    <t>ORD00247</t>
  </si>
  <si>
    <t>CUST0364</t>
  </si>
  <si>
    <t>Customer 0364</t>
  </si>
  <si>
    <t>ORD00248</t>
  </si>
  <si>
    <t>CUST0030</t>
  </si>
  <si>
    <t>Customer 0030</t>
  </si>
  <si>
    <t>ORD00249</t>
  </si>
  <si>
    <t>CUST0335</t>
  </si>
  <si>
    <t>Customer 0335</t>
  </si>
  <si>
    <t>ORD00250</t>
  </si>
  <si>
    <t>ORD00251</t>
  </si>
  <si>
    <t>CUST0331</t>
  </si>
  <si>
    <t>Customer 0331</t>
  </si>
  <si>
    <t>ORD00252</t>
  </si>
  <si>
    <t>CUST0136</t>
  </si>
  <si>
    <t>Customer 0136</t>
  </si>
  <si>
    <t>ORD00253</t>
  </si>
  <si>
    <t>CUST0192</t>
  </si>
  <si>
    <t>Customer 0192</t>
  </si>
  <si>
    <t>ORD00254</t>
  </si>
  <si>
    <t>CUST0277</t>
  </si>
  <si>
    <t>Customer 0277</t>
  </si>
  <si>
    <t>ORD00255</t>
  </si>
  <si>
    <t>ORD00256</t>
  </si>
  <si>
    <t>ORD00257</t>
  </si>
  <si>
    <t>CUST0222</t>
  </si>
  <si>
    <t>Customer 0222</t>
  </si>
  <si>
    <t>ORD00258</t>
  </si>
  <si>
    <t>ORD00259</t>
  </si>
  <si>
    <t>CUST0096</t>
  </si>
  <si>
    <t>Customer 0096</t>
  </si>
  <si>
    <t>ORD00260</t>
  </si>
  <si>
    <t>CUST0104</t>
  </si>
  <si>
    <t>Customer 0104</t>
  </si>
  <si>
    <t>ORD00261</t>
  </si>
  <si>
    <t>CUST0299</t>
  </si>
  <si>
    <t>Customer 0299</t>
  </si>
  <si>
    <t>ORD00262</t>
  </si>
  <si>
    <t>CUST0187</t>
  </si>
  <si>
    <t>Customer 0187</t>
  </si>
  <si>
    <t>ORD00263</t>
  </si>
  <si>
    <t>CUST0355</t>
  </si>
  <si>
    <t>Customer 0355</t>
  </si>
  <si>
    <t>ORD00264</t>
  </si>
  <si>
    <t>ORD00265</t>
  </si>
  <si>
    <t>ORD00266</t>
  </si>
  <si>
    <t>ORD00267</t>
  </si>
  <si>
    <t>CUST0182</t>
  </si>
  <si>
    <t>Customer 0182</t>
  </si>
  <si>
    <t>ORD00268</t>
  </si>
  <si>
    <t>ORD00269</t>
  </si>
  <si>
    <t>ORD00270</t>
  </si>
  <si>
    <t>CUST0075</t>
  </si>
  <si>
    <t>Customer 0075</t>
  </si>
  <si>
    <t>ORD00271</t>
  </si>
  <si>
    <t>ORD00272</t>
  </si>
  <si>
    <t>ORD00273</t>
  </si>
  <si>
    <t>ORD00274</t>
  </si>
  <si>
    <t>CUST0358</t>
  </si>
  <si>
    <t>Customer 0358</t>
  </si>
  <si>
    <t>ORD00275</t>
  </si>
  <si>
    <t>CUST0110</t>
  </si>
  <si>
    <t>Customer 0110</t>
  </si>
  <si>
    <t>ORD00276</t>
  </si>
  <si>
    <t>ORD00277</t>
  </si>
  <si>
    <t>ORD00278</t>
  </si>
  <si>
    <t>ORD00279</t>
  </si>
  <si>
    <t>CUST0371</t>
  </si>
  <si>
    <t>Customer 0371</t>
  </si>
  <si>
    <t>ORD00280</t>
  </si>
  <si>
    <t>CUST0218</t>
  </si>
  <si>
    <t>Customer 0218</t>
  </si>
  <si>
    <t>ORD00281</t>
  </si>
  <si>
    <t>CUST0400</t>
  </si>
  <si>
    <t>Customer 0400</t>
  </si>
  <si>
    <t>ORD00282</t>
  </si>
  <si>
    <t>ORD00283</t>
  </si>
  <si>
    <t>ORD00284</t>
  </si>
  <si>
    <t>CUST0006</t>
  </si>
  <si>
    <t>Customer 0006</t>
  </si>
  <si>
    <t>ORD00285</t>
  </si>
  <si>
    <t>ORD00286</t>
  </si>
  <si>
    <t>ORD00287</t>
  </si>
  <si>
    <t>CUST0109</t>
  </si>
  <si>
    <t>Customer 0109</t>
  </si>
  <si>
    <t>ORD00288</t>
  </si>
  <si>
    <t>CUST0246</t>
  </si>
  <si>
    <t>Customer 0246</t>
  </si>
  <si>
    <t>ORD00289</t>
  </si>
  <si>
    <t>ORD00290</t>
  </si>
  <si>
    <t>ORD00291</t>
  </si>
  <si>
    <t>ORD00292</t>
  </si>
  <si>
    <t>CUST0221</t>
  </si>
  <si>
    <t>Customer 0221</t>
  </si>
  <si>
    <t>ORD00293</t>
  </si>
  <si>
    <t>ORD00294</t>
  </si>
  <si>
    <t>CUST0038</t>
  </si>
  <si>
    <t>Customer 0038</t>
  </si>
  <si>
    <t>ORD00295</t>
  </si>
  <si>
    <t>CUST0105</t>
  </si>
  <si>
    <t>Customer 0105</t>
  </si>
  <si>
    <t>ORD00296</t>
  </si>
  <si>
    <t>CUST0304</t>
  </si>
  <si>
    <t>Customer 0304</t>
  </si>
  <si>
    <t>ORD00297</t>
  </si>
  <si>
    <t>CUST0287</t>
  </si>
  <si>
    <t>Customer 0287</t>
  </si>
  <si>
    <t>ORD00298</t>
  </si>
  <si>
    <t>CUST0360</t>
  </si>
  <si>
    <t>Customer 0360</t>
  </si>
  <si>
    <t>ORD00299</t>
  </si>
  <si>
    <t>ORD00300</t>
  </si>
  <si>
    <t>ORD00301</t>
  </si>
  <si>
    <t>ORD00302</t>
  </si>
  <si>
    <t>CUST0363</t>
  </si>
  <si>
    <t>Customer 0363</t>
  </si>
  <si>
    <t>ORD00303</t>
  </si>
  <si>
    <t>ORD00304</t>
  </si>
  <si>
    <t>ORD00305</t>
  </si>
  <si>
    <t>ORD00306</t>
  </si>
  <si>
    <t>ORD00307</t>
  </si>
  <si>
    <t>ORD00308</t>
  </si>
  <si>
    <t>ORD00309</t>
  </si>
  <si>
    <t>CUST0058</t>
  </si>
  <si>
    <t>Customer 0058</t>
  </si>
  <si>
    <t>ORD00310</t>
  </si>
  <si>
    <t>ORD00311</t>
  </si>
  <si>
    <t>CUST0100</t>
  </si>
  <si>
    <t>Customer 0100</t>
  </si>
  <si>
    <t>ORD00312</t>
  </si>
  <si>
    <t>CUST0141</t>
  </si>
  <si>
    <t>Customer 0141</t>
  </si>
  <si>
    <t>ORD00313</t>
  </si>
  <si>
    <t>ORD00314</t>
  </si>
  <si>
    <t>ORD00315</t>
  </si>
  <si>
    <t>ORD00316</t>
  </si>
  <si>
    <t>CUST0229</t>
  </si>
  <si>
    <t>Customer 0229</t>
  </si>
  <si>
    <t>ORD00317</t>
  </si>
  <si>
    <t>ORD00318</t>
  </si>
  <si>
    <t>CUST0316</t>
  </si>
  <si>
    <t>Customer 0316</t>
  </si>
  <si>
    <t>ORD00319</t>
  </si>
  <si>
    <t>ORD00320</t>
  </si>
  <si>
    <t>ORD00321</t>
  </si>
  <si>
    <t>CUST0214</t>
  </si>
  <si>
    <t>Customer 0214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</si>
  <si>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</si>
  <si>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</si>
  <si>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</si>
  <si>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</si>
  <si>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</si>
  <si>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</si>
  <si>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</si>
  <si>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</si>
  <si>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CUST0324</t>
  </si>
  <si>
    <t>Customer 0324</t>
  </si>
  <si>
    <t>ORD00330</t>
  </si>
  <si>
    <t>ORD00331</t>
  </si>
  <si>
    <t>ORD00332</t>
  </si>
  <si>
    <t>CUST0348</t>
  </si>
  <si>
    <t>Customer 0348</t>
  </si>
  <si>
    <t>ORD00333</t>
  </si>
  <si>
    <t>CUST0171</t>
  </si>
  <si>
    <t>Customer 0171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</si>
  <si>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</si>
  <si>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</si>
  <si>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</si>
  <si>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</si>
  <si>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</si>
  <si>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</si>
  <si>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</si>
  <si>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</si>
  <si>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</si>
  <si>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</si>
  <si>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CUST0251</t>
  </si>
  <si>
    <t>Customer 0251</t>
  </si>
  <si>
    <t>ORD00344</t>
  </si>
  <si>
    <t>CUST0089</t>
  </si>
  <si>
    <t>Customer 0089</t>
  </si>
  <si>
    <t>ORD00345</t>
  </si>
  <si>
    <t>CUST0016</t>
  </si>
  <si>
    <t>Customer 0016</t>
  </si>
  <si>
    <t>ORD00346</t>
  </si>
  <si>
    <t>ORD00347</t>
  </si>
  <si>
    <t>CUST0275</t>
  </si>
  <si>
    <t>Customer 0275</t>
  </si>
  <si>
    <t>ORD00348</t>
  </si>
  <si>
    <t>CUST0200</t>
  </si>
  <si>
    <t>Customer 0200</t>
  </si>
  <si>
    <t>ORD00349</t>
  </si>
  <si>
    <t>ORD00350</t>
  </si>
  <si>
    <t>CUST0230</t>
  </si>
  <si>
    <t>Customer 0230</t>
  </si>
  <si>
    <t>ORD00351</t>
  </si>
  <si>
    <t>ORD00352</t>
  </si>
  <si>
    <t>ORD00353</t>
  </si>
  <si>
    <t>CUST0215</t>
  </si>
  <si>
    <t>Customer 0215</t>
  </si>
  <si>
    <t>ORD00354</t>
  </si>
  <si>
    <t>ORD00355</t>
  </si>
  <si>
    <t>ORD00356</t>
  </si>
  <si>
    <t>CUST0306</t>
  </si>
  <si>
    <t>Customer 0306</t>
  </si>
  <si>
    <t>ORD00357</t>
  </si>
  <si>
    <t>CUST0260</t>
  </si>
  <si>
    <t>Customer 0260</t>
  </si>
  <si>
    <t>ORD00358</t>
  </si>
  <si>
    <t>ORD00359</t>
  </si>
  <si>
    <t>CUST0017</t>
  </si>
  <si>
    <t>Customer 0017</t>
  </si>
  <si>
    <t>ORD00360</t>
  </si>
  <si>
    <t>CUST0018</t>
  </si>
  <si>
    <t>Customer 0018</t>
  </si>
  <si>
    <t>ORD00361</t>
  </si>
  <si>
    <t>CUST0101</t>
  </si>
  <si>
    <t>Customer 0101</t>
  </si>
  <si>
    <t>ORD00362</t>
  </si>
  <si>
    <t>ORD00363</t>
  </si>
  <si>
    <t>ORD00364</t>
  </si>
  <si>
    <t>ORD00365</t>
  </si>
  <si>
    <t>ORD00366</t>
  </si>
  <si>
    <t>ORD00367</t>
  </si>
  <si>
    <t>CUST0111</t>
  </si>
  <si>
    <t>Customer 0111</t>
  </si>
  <si>
    <t>ORD00368</t>
  </si>
  <si>
    <t>CUST0045</t>
  </si>
  <si>
    <t>Customer 0045</t>
  </si>
  <si>
    <t>ORD00369</t>
  </si>
  <si>
    <t>ORD00370</t>
  </si>
  <si>
    <t>ORD00371</t>
  </si>
  <si>
    <t>ORD00372</t>
  </si>
  <si>
    <t>ORD00373</t>
  </si>
  <si>
    <t>CUST0025</t>
  </si>
  <si>
    <t>Customer 0025</t>
  </si>
  <si>
    <t>ORD00374</t>
  </si>
  <si>
    <t>ORD00375</t>
  </si>
  <si>
    <t>ORD00376</t>
  </si>
  <si>
    <t>CUST0253</t>
  </si>
  <si>
    <t>Customer 0253</t>
  </si>
  <si>
    <t>ORD00377</t>
  </si>
  <si>
    <t>CUST0310</t>
  </si>
  <si>
    <t>Customer 0310</t>
  </si>
  <si>
    <t>ORD00378</t>
  </si>
  <si>
    <t>ORD00379</t>
  </si>
  <si>
    <t>ORD00380</t>
  </si>
  <si>
    <t>CUST0134</t>
  </si>
  <si>
    <t>Customer 0134</t>
  </si>
  <si>
    <t>ORD00381</t>
  </si>
  <si>
    <t>ORD00382</t>
  </si>
  <si>
    <t>ORD00383</t>
  </si>
  <si>
    <t>CUST0035</t>
  </si>
  <si>
    <t>Customer 0035</t>
  </si>
  <si>
    <t>ORD00384</t>
  </si>
  <si>
    <t>CUST0211</t>
  </si>
  <si>
    <t>Customer 0211</t>
  </si>
  <si>
    <t>ORD00385</t>
  </si>
  <si>
    <t>ORD00386</t>
  </si>
  <si>
    <t>CUST0244</t>
  </si>
  <si>
    <t>Customer 0244</t>
  </si>
  <si>
    <t>ORD00387</t>
  </si>
  <si>
    <t>CUST0272</t>
  </si>
  <si>
    <t>Customer 0272</t>
  </si>
  <si>
    <t>ORD00388</t>
  </si>
  <si>
    <t>ORD00389</t>
  </si>
  <si>
    <t>CUST0298</t>
  </si>
  <si>
    <t>Customer 0298</t>
  </si>
  <si>
    <t>ORD00390</t>
  </si>
  <si>
    <t>ORD00391</t>
  </si>
  <si>
    <t>CUST0130</t>
  </si>
  <si>
    <t>Customer 0130</t>
  </si>
  <si>
    <t>ORD00392</t>
  </si>
  <si>
    <t>ORD00393</t>
  </si>
  <si>
    <t>ORD00394</t>
  </si>
  <si>
    <t>CUST0072</t>
  </si>
  <si>
    <t>Customer 0072</t>
  </si>
  <si>
    <t>ORD00395</t>
  </si>
  <si>
    <t>ORD00396</t>
  </si>
  <si>
    <t>ORD00397</t>
  </si>
  <si>
    <t>ORD00398</t>
  </si>
  <si>
    <t>ORD00399</t>
  </si>
  <si>
    <t>ORD00400</t>
  </si>
  <si>
    <t>ORD00401</t>
  </si>
  <si>
    <t>CUST0271</t>
  </si>
  <si>
    <t>Customer 0271</t>
  </si>
  <si>
    <t>ORD00402</t>
  </si>
  <si>
    <t>CUST0001</t>
  </si>
  <si>
    <t>Customer 0001</t>
  </si>
  <si>
    <t>ORD00403</t>
  </si>
  <si>
    <t>ORD00404</t>
  </si>
  <si>
    <t>ORD00405</t>
  </si>
  <si>
    <t>CUST0350</t>
  </si>
  <si>
    <t>Customer 0350</t>
  </si>
  <si>
    <t>ORD00406</t>
  </si>
  <si>
    <t>CUST0185</t>
  </si>
  <si>
    <t>Customer 0185</t>
  </si>
  <si>
    <t>ORD00407</t>
  </si>
  <si>
    <t>ORD00408</t>
  </si>
  <si>
    <t>CUST0106</t>
  </si>
  <si>
    <t>Customer 0106</t>
  </si>
  <si>
    <t>ORD00409</t>
  </si>
  <si>
    <t>ORD00410</t>
  </si>
  <si>
    <t>CUST0314</t>
  </si>
  <si>
    <t>Customer 0314</t>
  </si>
  <si>
    <t>ORD00411</t>
  </si>
  <si>
    <t>ORD00412</t>
  </si>
  <si>
    <t>ORD00413</t>
  </si>
  <si>
    <t>ORD00414</t>
  </si>
  <si>
    <t>ORD00415</t>
  </si>
  <si>
    <t>ORD00416</t>
  </si>
  <si>
    <t>CUST0054</t>
  </si>
  <si>
    <t>Customer 0054</t>
  </si>
  <si>
    <t>ORD00417</t>
  </si>
  <si>
    <t>CUST0327</t>
  </si>
  <si>
    <t>Customer 0327</t>
  </si>
  <si>
    <t>ORD00418</t>
  </si>
  <si>
    <t>CUST0140</t>
  </si>
  <si>
    <t>Customer 0140</t>
  </si>
  <si>
    <t>ORD00419</t>
  </si>
  <si>
    <t>ORD00420</t>
  </si>
  <si>
    <t>ORD00421</t>
  </si>
  <si>
    <t>ORD00422</t>
  </si>
  <si>
    <t>CUST0391</t>
  </si>
  <si>
    <t>Customer 0391</t>
  </si>
  <si>
    <t>ORD00423</t>
  </si>
  <si>
    <t>ORD00424</t>
  </si>
  <si>
    <t>ORD00425</t>
  </si>
  <si>
    <t>ORD00426</t>
  </si>
  <si>
    <t>ORD00427</t>
  </si>
  <si>
    <t>CUST0368</t>
  </si>
  <si>
    <t>Customer 0368</t>
  </si>
  <si>
    <t>ORD00428</t>
  </si>
  <si>
    <t>ORD00429</t>
  </si>
  <si>
    <t>CUST0108</t>
  </si>
  <si>
    <t>Customer 0108</t>
  </si>
  <si>
    <t>ORD00430</t>
  </si>
  <si>
    <t>CUST0338</t>
  </si>
  <si>
    <t>Customer 0338</t>
  </si>
  <si>
    <t>ORD00431</t>
  </si>
  <si>
    <t>ORD00432</t>
  </si>
  <si>
    <t>ORD00433</t>
  </si>
  <si>
    <t>ORD00434</t>
  </si>
  <si>
    <t>ORD00435</t>
  </si>
  <si>
    <t>CUST0236</t>
  </si>
  <si>
    <t>Customer 0236</t>
  </si>
  <si>
    <t>ORD00436</t>
  </si>
  <si>
    <t>ORD00437</t>
  </si>
  <si>
    <t>CUST0238</t>
  </si>
  <si>
    <t>Customer 0238</t>
  </si>
  <si>
    <t>ORD00438</t>
  </si>
  <si>
    <t>ORD00439</t>
  </si>
  <si>
    <t>ORD00440</t>
  </si>
  <si>
    <t>ORD00441</t>
  </si>
  <si>
    <t>CUST0257</t>
  </si>
  <si>
    <t>Customer 0257</t>
  </si>
  <si>
    <t>ORD00442</t>
  </si>
  <si>
    <t>ORD00443</t>
  </si>
  <si>
    <t>ORD00444</t>
  </si>
  <si>
    <t>CUST0342</t>
  </si>
  <si>
    <t>Customer 0342</t>
  </si>
  <si>
    <t>ORD00445</t>
  </si>
  <si>
    <t>ORD00446</t>
  </si>
  <si>
    <t>ORD00447</t>
  </si>
  <si>
    <t>ORD00448</t>
  </si>
  <si>
    <t>ORD00449</t>
  </si>
  <si>
    <t>ORD00450</t>
  </si>
  <si>
    <t>CUST0296</t>
  </si>
  <si>
    <t>Customer 0296</t>
  </si>
  <si>
    <t>ORD00451</t>
  </si>
  <si>
    <t>CUST0280</t>
  </si>
  <si>
    <t>Customer 0280</t>
  </si>
  <si>
    <t>ORD00452</t>
  </si>
  <si>
    <t>CUST0090</t>
  </si>
  <si>
    <t>Customer 0090</t>
  </si>
  <si>
    <t>ORD00453</t>
  </si>
  <si>
    <t>ORD00454</t>
  </si>
  <si>
    <t>CUST0397</t>
  </si>
  <si>
    <t>Customer 0397</t>
  </si>
  <si>
    <t>ORD00455</t>
  </si>
  <si>
    <t>ORD00456</t>
  </si>
  <si>
    <t>ORD00457</t>
  </si>
  <si>
    <t>ORD00458</t>
  </si>
  <si>
    <t>CUST0312</t>
  </si>
  <si>
    <t>Customer 0312</t>
  </si>
  <si>
    <t>ORD00459</t>
  </si>
  <si>
    <t>CUST0181</t>
  </si>
  <si>
    <t>Customer 0181</t>
  </si>
  <si>
    <t>ORD00460</t>
  </si>
  <si>
    <t>ORD00461</t>
  </si>
  <si>
    <t>ORD00462</t>
  </si>
  <si>
    <t>ORD00463</t>
  </si>
  <si>
    <t>ORD00464</t>
  </si>
  <si>
    <t>ORD00465</t>
  </si>
  <si>
    <t>ORD00466</t>
  </si>
  <si>
    <t>CUST0195</t>
  </si>
  <si>
    <t>Customer 0195</t>
  </si>
  <si>
    <t>ORD00467</t>
  </si>
  <si>
    <t>ORD00468</t>
  </si>
  <si>
    <t>ORD00469</t>
  </si>
  <si>
    <t>CUST0034</t>
  </si>
  <si>
    <t>Customer 0034</t>
  </si>
  <si>
    <t>ORD00470</t>
  </si>
  <si>
    <t>ORD00471</t>
  </si>
  <si>
    <t>ORD00472</t>
  </si>
  <si>
    <t>CUST0378</t>
  </si>
  <si>
    <t>Customer 0378</t>
  </si>
  <si>
    <t>ORD00473</t>
  </si>
  <si>
    <t>ORD00474</t>
  </si>
  <si>
    <t>ORD00475</t>
  </si>
  <si>
    <t>ORD00476</t>
  </si>
  <si>
    <t>ORD00477</t>
  </si>
  <si>
    <t>CUST0373</t>
  </si>
  <si>
    <t>Customer 0373</t>
  </si>
  <si>
    <t>ORD00478</t>
  </si>
  <si>
    <t>ORD00479</t>
  </si>
  <si>
    <t>ORD00480</t>
  </si>
  <si>
    <t>ORD00481</t>
  </si>
  <si>
    <t>ORD00482</t>
  </si>
  <si>
    <t>CUST0393</t>
  </si>
  <si>
    <t>Customer 0393</t>
  </si>
  <si>
    <t>ORD00483</t>
  </si>
  <si>
    <t>CUST0204</t>
  </si>
  <si>
    <t>Customer 0204</t>
  </si>
  <si>
    <t>ORD00484</t>
  </si>
  <si>
    <t>ORD00485</t>
  </si>
  <si>
    <t>ORD00486</t>
  </si>
  <si>
    <t>CUST0179</t>
  </si>
  <si>
    <t>Customer 0179</t>
  </si>
  <si>
    <t>ORD00487</t>
  </si>
  <si>
    <t>ORD00488</t>
  </si>
  <si>
    <t>ORD00489</t>
  </si>
  <si>
    <t>ORD00490</t>
  </si>
  <si>
    <t>CUST0232</t>
  </si>
  <si>
    <t>Customer 0232</t>
  </si>
  <si>
    <t>ORD00491</t>
  </si>
  <si>
    <t>CUST0323</t>
  </si>
  <si>
    <t>Customer 0323</t>
  </si>
  <si>
    <t>ORD00492</t>
  </si>
  <si>
    <t>CUST0120</t>
  </si>
  <si>
    <t>Customer 0120</t>
  </si>
  <si>
    <t>ORD00493</t>
  </si>
  <si>
    <t>CUST0184</t>
  </si>
  <si>
    <t>Customer 0184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</si>
  <si>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</si>
  <si>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</si>
  <si>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</si>
  <si>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</si>
  <si>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</si>
  <si>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</si>
  <si>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</si>
  <si>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</si>
  <si>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CUST0091</t>
  </si>
  <si>
    <t>Customer 0091</t>
  </si>
  <si>
    <t>ORD00502</t>
  </si>
  <si>
    <t>CUST0191</t>
  </si>
  <si>
    <t>Customer 0191</t>
  </si>
  <si>
    <t>ORD00503</t>
  </si>
  <si>
    <t>ORD00504</t>
  </si>
  <si>
    <t>ORD00505</t>
  </si>
  <si>
    <t>ORD00506</t>
  </si>
  <si>
    <t>CUST0395</t>
  </si>
  <si>
    <t>Customer 0395</t>
  </si>
  <si>
    <t>ORD00507</t>
  </si>
  <si>
    <t>CUST0264</t>
  </si>
  <si>
    <t>Customer 0264</t>
  </si>
  <si>
    <t>ORD00508</t>
  </si>
  <si>
    <t>ORD00509</t>
  </si>
  <si>
    <t>CUST0225</t>
  </si>
  <si>
    <t>Customer 0225</t>
  </si>
  <si>
    <t>ORD00510</t>
  </si>
  <si>
    <t>ORD00511</t>
  </si>
  <si>
    <t>CUST0153</t>
  </si>
  <si>
    <t>Customer 0153</t>
  </si>
  <si>
    <t>ORD00512</t>
  </si>
  <si>
    <t>ORD00513</t>
  </si>
  <si>
    <t>CUST0046</t>
  </si>
  <si>
    <t>Customer 0046</t>
  </si>
  <si>
    <t>ORD00514</t>
  </si>
  <si>
    <t>ORD00515</t>
  </si>
  <si>
    <t>ORD00516</t>
  </si>
  <si>
    <t>CUST0357</t>
  </si>
  <si>
    <t>Customer 0357</t>
  </si>
  <si>
    <t>ORD00517</t>
  </si>
  <si>
    <t>ORD00518</t>
  </si>
  <si>
    <t>ORD00519</t>
  </si>
  <si>
    <t>ORD00520</t>
  </si>
  <si>
    <t>ORD00521</t>
  </si>
  <si>
    <t>CUST0002</t>
  </si>
  <si>
    <t>Customer 0002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</si>
  <si>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</si>
  <si>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</si>
  <si>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</si>
  <si>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</si>
  <si>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</si>
  <si>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</si>
  <si>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</si>
  <si>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</si>
  <si>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</si>
  <si>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</si>
  <si>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</si>
  <si>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CUST0255</t>
  </si>
  <si>
    <t>Customer 0255</t>
  </si>
  <si>
    <t>ORD00533</t>
  </si>
  <si>
    <t>ORD00534</t>
  </si>
  <si>
    <t>CUST0097</t>
  </si>
  <si>
    <t>Customer 0097</t>
  </si>
  <si>
    <t>ORD00535</t>
  </si>
  <si>
    <t>ORD00536</t>
  </si>
  <si>
    <t>CUST0241</t>
  </si>
  <si>
    <t>Customer 0241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</si>
  <si>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</si>
  <si>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</si>
  <si>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</si>
  <si>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</si>
  <si>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</si>
  <si>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</si>
  <si>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</si>
  <si>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</si>
  <si>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</si>
  <si>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</si>
  <si>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</si>
  <si>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</si>
  <si>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</si>
  <si>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</si>
  <si>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</si>
  <si>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CUST0212</t>
  </si>
  <si>
    <t>Customer 0212</t>
  </si>
  <si>
    <t>ORD00552</t>
  </si>
  <si>
    <t>ORD00553</t>
  </si>
  <si>
    <t>ORD00554</t>
  </si>
  <si>
    <t>CUST0270</t>
  </si>
  <si>
    <t>Customer 0270</t>
  </si>
  <si>
    <t>ORD00555</t>
  </si>
  <si>
    <t>ORD00556</t>
  </si>
  <si>
    <t>ORD00557</t>
  </si>
  <si>
    <t>ORD00558</t>
  </si>
  <si>
    <t>ORD00559</t>
  </si>
  <si>
    <t>CUST0317</t>
  </si>
  <si>
    <t>Customer 0317</t>
  </si>
  <si>
    <t>ORD00560</t>
  </si>
  <si>
    <t>CUST0026</t>
  </si>
  <si>
    <t>Customer 0026</t>
  </si>
  <si>
    <t>ORD00561</t>
  </si>
  <si>
    <t>ORD00562</t>
  </si>
  <si>
    <t>CUST0037</t>
  </si>
  <si>
    <t>Customer 0037</t>
  </si>
  <si>
    <t>ORD00563</t>
  </si>
  <si>
    <t>CUST0235</t>
  </si>
  <si>
    <t>Customer 0235</t>
  </si>
  <si>
    <t>ORD00564</t>
  </si>
  <si>
    <t>CUST0114</t>
  </si>
  <si>
    <t>Customer 0114</t>
  </si>
  <si>
    <t>ORD00565</t>
  </si>
  <si>
    <t>ORD00566</t>
  </si>
  <si>
    <t>ORD00567</t>
  </si>
  <si>
    <t>CUST0015</t>
  </si>
  <si>
    <t>Customer 0015</t>
  </si>
  <si>
    <t>ORD00568</t>
  </si>
  <si>
    <t>ORD00569</t>
  </si>
  <si>
    <t>ORD00570</t>
  </si>
  <si>
    <t>CUST0142</t>
  </si>
  <si>
    <t>Customer 0142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</si>
  <si>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</si>
  <si>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</si>
  <si>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</si>
  <si>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</si>
  <si>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</si>
  <si>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</si>
  <si>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</si>
  <si>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</si>
  <si>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CUST0147</t>
  </si>
  <si>
    <t>Customer 0147</t>
  </si>
  <si>
    <t>ORD00579</t>
  </si>
  <si>
    <t>ORD00580</t>
  </si>
  <si>
    <t>ORD00581</t>
  </si>
  <si>
    <t>ORD00582</t>
  </si>
  <si>
    <t>ORD00583</t>
  </si>
  <si>
    <t>CUST0176</t>
  </si>
  <si>
    <t>Customer 0176</t>
  </si>
  <si>
    <t>ORD00584</t>
  </si>
  <si>
    <t>CUST0383</t>
  </si>
  <si>
    <t>Customer 0383</t>
  </si>
  <si>
    <t>ORD00585</t>
  </si>
  <si>
    <t>CUST0197</t>
  </si>
  <si>
    <t>Customer 0197</t>
  </si>
  <si>
    <t>ORD00586</t>
  </si>
  <si>
    <t>ORD00587</t>
  </si>
  <si>
    <t>CUST0056</t>
  </si>
  <si>
    <t>Customer 0056</t>
  </si>
  <si>
    <t>ORD00588</t>
  </si>
  <si>
    <t>ORD00589</t>
  </si>
  <si>
    <t>CUST0233</t>
  </si>
  <si>
    <t>Customer 0233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</si>
  <si>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</si>
  <si>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</si>
  <si>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</si>
  <si>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</si>
  <si>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</si>
  <si>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</si>
  <si>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</si>
  <si>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</si>
  <si>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</si>
  <si>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</si>
  <si>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</si>
  <si>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CUST0131</t>
  </si>
  <si>
    <t>Customer 0131</t>
  </si>
  <si>
    <t>ORD00601</t>
  </si>
  <si>
    <t>ORD00602</t>
  </si>
  <si>
    <t>ORD00603</t>
  </si>
  <si>
    <t>CUST0180</t>
  </si>
  <si>
    <t>Customer 0180</t>
  </si>
  <si>
    <t>ORD00604</t>
  </si>
  <si>
    <t>ORD00605</t>
  </si>
  <si>
    <t>ORD00606</t>
  </si>
  <si>
    <t>CUST0396</t>
  </si>
  <si>
    <t>Customer 0396</t>
  </si>
  <si>
    <t>ORD00607</t>
  </si>
  <si>
    <t>ORD00608</t>
  </si>
  <si>
    <t>CUST0203</t>
  </si>
  <si>
    <t>Customer 0203</t>
  </si>
  <si>
    <t>ORD00609</t>
  </si>
  <si>
    <t>ORD00610</t>
  </si>
  <si>
    <t>ORD00611</t>
  </si>
  <si>
    <t>CUST0366</t>
  </si>
  <si>
    <t>Customer 0366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</si>
  <si>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</si>
  <si>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</si>
  <si>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</si>
  <si>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</si>
  <si>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</si>
  <si>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</si>
  <si>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</si>
  <si>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</si>
  <si>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</si>
  <si>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</si>
  <si>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</si>
  <si>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</si>
  <si>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</si>
  <si>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CUST0152</t>
  </si>
  <si>
    <t>Customer 0152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</si>
  <si>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</si>
  <si>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</si>
  <si>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</si>
  <si>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</si>
  <si>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</si>
  <si>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</si>
  <si>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</si>
  <si>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</si>
  <si>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</si>
  <si>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</si>
  <si>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</si>
  <si>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</si>
  <si>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</si>
  <si>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</si>
  <si>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CUST0369</t>
  </si>
  <si>
    <t>Customer 0369</t>
  </si>
  <si>
    <t>ORD00639</t>
  </si>
  <si>
    <t>CUST0205</t>
  </si>
  <si>
    <t>Customer 0205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</si>
  <si>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</si>
  <si>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</si>
  <si>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</si>
  <si>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</si>
  <si>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</si>
  <si>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</si>
  <si>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</si>
  <si>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</si>
  <si>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</si>
  <si>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</si>
  <si>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</si>
  <si>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</si>
  <si>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</si>
  <si>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</si>
  <si>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</si>
  <si>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</si>
  <si>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</si>
  <si>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</si>
  <si>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</si>
  <si>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</si>
  <si>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CUST0055</t>
  </si>
  <si>
    <t>Customer 0055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</si>
  <si>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</si>
  <si>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</si>
  <si>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</si>
  <si>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</si>
  <si>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</si>
  <si>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</si>
  <si>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</si>
  <si>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</si>
  <si>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CUST0144</t>
  </si>
  <si>
    <t>Customer 0144</t>
  </si>
  <si>
    <t>ORD00668</t>
  </si>
  <si>
    <t>ORD00669</t>
  </si>
  <si>
    <t>ORD00670</t>
  </si>
  <si>
    <t>ORD00671</t>
  </si>
  <si>
    <t>ORD00672</t>
  </si>
  <si>
    <t>CUST0053</t>
  </si>
  <si>
    <t>Customer 0053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</si>
  <si>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</si>
  <si>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</si>
  <si>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</si>
  <si>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</si>
  <si>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</si>
  <si>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</si>
  <si>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</si>
  <si>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</si>
  <si>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</si>
  <si>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</si>
  <si>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</si>
  <si>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</si>
  <si>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</si>
  <si>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</si>
  <si>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</si>
  <si>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</si>
  <si>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</si>
  <si>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</si>
  <si>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</si>
  <si>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</si>
  <si>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</si>
  <si>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</si>
  <si>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</si>
  <si>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</si>
  <si>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</si>
  <si>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</si>
  <si>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CUST0292</t>
  </si>
  <si>
    <t>Customer 0292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</si>
  <si>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</si>
  <si>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</si>
  <si>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</si>
  <si>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</si>
  <si>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</si>
  <si>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</si>
  <si>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</si>
  <si>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</si>
  <si>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</si>
  <si>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</si>
  <si>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</si>
  <si>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</si>
  <si>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</si>
  <si>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</si>
  <si>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</si>
  <si>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</si>
  <si>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</si>
  <si>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CUST0132</t>
  </si>
  <si>
    <t>Customer 0132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</si>
  <si>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</si>
  <si>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</si>
  <si>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</si>
  <si>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</si>
  <si>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</si>
  <si>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</si>
  <si>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</si>
  <si>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</si>
  <si>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</si>
  <si>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</si>
  <si>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</si>
  <si>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</si>
  <si>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</si>
  <si>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</si>
  <si>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CUST0033</t>
  </si>
  <si>
    <t>Customer 0033</t>
  </si>
  <si>
    <t>ORD00730</t>
  </si>
  <si>
    <t>ORD00731</t>
  </si>
  <si>
    <t>ORD00732</t>
  </si>
  <si>
    <t>ORD00733</t>
  </si>
  <si>
    <t>CUST0095</t>
  </si>
  <si>
    <t>Customer 0095</t>
  </si>
  <si>
    <t>ORD00734</t>
  </si>
  <si>
    <t>CUST0208</t>
  </si>
  <si>
    <t>Customer 0208</t>
  </si>
  <si>
    <t>ORD00735</t>
  </si>
  <si>
    <t>CUST0154</t>
  </si>
  <si>
    <t>Customer 0154</t>
  </si>
  <si>
    <t>ORD00736</t>
  </si>
  <si>
    <t>ORD00737</t>
  </si>
  <si>
    <t>ORD00738</t>
  </si>
  <si>
    <t>ORD00739</t>
  </si>
  <si>
    <t>CUST0077</t>
  </si>
  <si>
    <t>Customer 0077</t>
  </si>
  <si>
    <t>ORD00740</t>
  </si>
  <si>
    <t>ORD00741</t>
  </si>
  <si>
    <t>ORD00742</t>
  </si>
  <si>
    <t>ORD00743</t>
  </si>
  <si>
    <t>ORD00744</t>
  </si>
  <si>
    <t>CUST0170</t>
  </si>
  <si>
    <t>Customer 0170</t>
  </si>
  <si>
    <t>ORD00745</t>
  </si>
  <si>
    <t>ORD00746</t>
  </si>
  <si>
    <t>ORD00747</t>
  </si>
  <si>
    <t>ORD00748</t>
  </si>
  <si>
    <t>ORD00749</t>
  </si>
  <si>
    <t>CUST0254</t>
  </si>
  <si>
    <t>Customer 0254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</si>
  <si>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</si>
  <si>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</si>
  <si>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</si>
  <si>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</si>
  <si>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</si>
  <si>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</si>
  <si>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</si>
  <si>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</si>
  <si>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</si>
  <si>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</si>
  <si>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</si>
  <si>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</si>
  <si>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</si>
  <si>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</si>
  <si>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</si>
  <si>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</si>
  <si>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</si>
  <si>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</si>
  <si>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</si>
  <si>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CUST0297</t>
  </si>
  <si>
    <t>Customer 0297</t>
  </si>
  <si>
    <t>ORD00769</t>
  </si>
  <si>
    <t>CUST0061</t>
  </si>
  <si>
    <t>Customer 0061</t>
  </si>
  <si>
    <t>ORD00770</t>
  </si>
  <si>
    <t>ORD00771</t>
  </si>
  <si>
    <t>ORD00772</t>
  </si>
  <si>
    <t>ORD00773</t>
  </si>
  <si>
    <t>ORD00774</t>
  </si>
  <si>
    <t>ORD00775</t>
  </si>
  <si>
    <t>CUST0263</t>
  </si>
  <si>
    <t>Customer 0263</t>
  </si>
  <si>
    <t>ORD00776</t>
  </si>
  <si>
    <t>ORD00777</t>
  </si>
  <si>
    <t>ORD00778</t>
  </si>
  <si>
    <t>ORD00779</t>
  </si>
  <si>
    <t>ORD00780</t>
  </si>
  <si>
    <t>ORD00781</t>
  </si>
  <si>
    <t>CUST0259</t>
  </si>
  <si>
    <t>Customer 0259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</si>
  <si>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</si>
  <si>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</si>
  <si>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</si>
  <si>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</si>
  <si>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</si>
  <si>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</si>
  <si>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</si>
  <si>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</si>
  <si>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</si>
  <si>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CUST0008</t>
  </si>
  <si>
    <t>Customer 0008</t>
  </si>
  <si>
    <t>ORD00791</t>
  </si>
  <si>
    <t>ORD00792</t>
  </si>
  <si>
    <t>ORD00793</t>
  </si>
  <si>
    <t>ORD00794</t>
  </si>
  <si>
    <t>CUST0252</t>
  </si>
  <si>
    <t>Customer 0252</t>
  </si>
  <si>
    <t>ORD00795</t>
  </si>
  <si>
    <t>ORD00796</t>
  </si>
  <si>
    <t>CUST0071</t>
  </si>
  <si>
    <t>Customer 0071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</si>
  <si>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</si>
  <si>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</si>
  <si>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</si>
  <si>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</si>
  <si>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</si>
  <si>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</si>
  <si>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</si>
  <si>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</si>
  <si>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CUST0190</t>
  </si>
  <si>
    <t>Customer 0190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</si>
  <si>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</si>
  <si>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</si>
  <si>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</si>
  <si>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</si>
  <si>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</si>
  <si>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</si>
  <si>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</si>
  <si>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</si>
  <si>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CUST0099</t>
  </si>
  <si>
    <t>Customer 0099</t>
  </si>
  <si>
    <t>ORD00813</t>
  </si>
  <si>
    <t>ORD00814</t>
  </si>
  <si>
    <t>ORD00815</t>
  </si>
  <si>
    <t>CUST0375</t>
  </si>
  <si>
    <t>Customer 0375</t>
  </si>
  <si>
    <t>ORD00816</t>
  </si>
  <si>
    <t>ORD00817</t>
  </si>
  <si>
    <t>ORD00818</t>
  </si>
  <si>
    <t>ORD00819</t>
  </si>
  <si>
    <t>ORD00820</t>
  </si>
  <si>
    <t>CUST0080</t>
  </si>
  <si>
    <t>Customer 0080</t>
  </si>
  <si>
    <t>ORD00821</t>
  </si>
  <si>
    <t>ORD00822</t>
  </si>
  <si>
    <t>ORD00823</t>
  </si>
  <si>
    <t>CUST0303</t>
  </si>
  <si>
    <t>Customer 0303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</si>
  <si>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</si>
  <si>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</si>
  <si>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</si>
  <si>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</si>
  <si>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</si>
  <si>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</si>
  <si>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</si>
  <si>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</si>
  <si>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</si>
  <si>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</si>
  <si>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</si>
  <si>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</si>
  <si>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</si>
  <si>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</si>
  <si>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</si>
  <si>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</si>
  <si>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</si>
  <si>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</si>
  <si>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</si>
  <si>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</si>
  <si>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</si>
  <si>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</si>
  <si>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</si>
  <si>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CUST0028</t>
  </si>
  <si>
    <t>Customer 0028</t>
  </si>
  <si>
    <t>ORD00847</t>
  </si>
  <si>
    <t>ORD00848</t>
  </si>
  <si>
    <t>ORD00849</t>
  </si>
  <si>
    <t>CUST0227</t>
  </si>
  <si>
    <t>Customer 0227</t>
  </si>
  <si>
    <t>ORD00850</t>
  </si>
  <si>
    <t>ORD00851</t>
  </si>
  <si>
    <t>ORD00852</t>
  </si>
  <si>
    <t>ORD00853</t>
  </si>
  <si>
    <t>CUST0334</t>
  </si>
  <si>
    <t>Customer 0334</t>
  </si>
  <si>
    <t>ORD00854</t>
  </si>
  <si>
    <t>ORD00855</t>
  </si>
  <si>
    <t>ORD00856</t>
  </si>
  <si>
    <t>ORD00857</t>
  </si>
  <si>
    <t>ORD00858</t>
  </si>
  <si>
    <t>ORD00859</t>
  </si>
  <si>
    <t>ORD00860</t>
  </si>
  <si>
    <t>CUST0367</t>
  </si>
  <si>
    <t>Customer 0367</t>
  </si>
  <si>
    <t>ORD00861</t>
  </si>
  <si>
    <t>ORD00862</t>
  </si>
  <si>
    <t>ORD00863</t>
  </si>
  <si>
    <t>ORD00864</t>
  </si>
  <si>
    <t>ORD00865</t>
  </si>
  <si>
    <t>ORD00866</t>
  </si>
  <si>
    <t>ORD00867</t>
  </si>
  <si>
    <t>CUST0315</t>
  </si>
  <si>
    <t>Customer 0315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</si>
  <si>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</si>
  <si>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</si>
  <si>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</si>
  <si>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</si>
  <si>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</si>
  <si>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</si>
  <si>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</si>
  <si>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</si>
  <si>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</si>
  <si>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</si>
  <si>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</si>
  <si>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</si>
  <si>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</si>
  <si>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</si>
  <si>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CUST0070</t>
  </si>
  <si>
    <t>Customer 0070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</si>
  <si>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</si>
  <si>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</si>
  <si>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</si>
  <si>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</si>
  <si>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</si>
  <si>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</si>
  <si>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</si>
  <si>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</si>
  <si>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</si>
  <si>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</si>
  <si>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</si>
  <si>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</si>
  <si>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</si>
  <si>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</si>
  <si>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</si>
  <si>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</si>
  <si>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CUST0322</t>
  </si>
  <si>
    <t>Customer 0322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</si>
  <si>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</si>
  <si>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</si>
  <si>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</si>
  <si>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</si>
  <si>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</si>
  <si>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</si>
  <si>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</si>
  <si>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</si>
  <si>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</si>
  <si>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</si>
  <si>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</si>
  <si>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</si>
  <si>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</si>
  <si>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</si>
  <si>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</si>
  <si>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</si>
  <si>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</si>
  <si>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</si>
  <si>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</si>
  <si>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CUST0027</t>
  </si>
  <si>
    <t>Customer 0027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</si>
  <si>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</si>
  <si>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</si>
  <si>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</si>
  <si>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</si>
  <si>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</si>
  <si>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</si>
  <si>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</si>
  <si>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</si>
  <si>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CUST0126</t>
  </si>
  <si>
    <t>Customer 0126</t>
  </si>
  <si>
    <t>ORD00925</t>
  </si>
  <si>
    <t>CUST0138</t>
  </si>
  <si>
    <t>Customer 0138</t>
  </si>
  <si>
    <t>ORD00926</t>
  </si>
  <si>
    <t>CUST0135</t>
  </si>
  <si>
    <t>Customer 0135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</si>
  <si>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</si>
  <si>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</si>
  <si>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</si>
  <si>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</si>
  <si>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</si>
  <si>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</si>
  <si>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</si>
  <si>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</si>
  <si>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</si>
  <si>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</si>
  <si>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</si>
  <si>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</si>
  <si>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</si>
  <si>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</si>
  <si>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</si>
  <si>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</si>
  <si>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CUST0149</t>
  </si>
  <si>
    <t>Customer 0149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</si>
  <si>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</si>
  <si>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</si>
  <si>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</si>
  <si>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</si>
  <si>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</si>
  <si>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</si>
  <si>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</si>
  <si>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</si>
  <si>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</si>
  <si>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</si>
  <si>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</si>
  <si>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</si>
  <si>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</si>
  <si>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</si>
  <si>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CUST0013</t>
  </si>
  <si>
    <t>Customer 0013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</si>
  <si>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</si>
  <si>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</si>
  <si>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</si>
  <si>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</si>
  <si>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</si>
  <si>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</si>
  <si>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</si>
  <si>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</si>
  <si>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</si>
  <si>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</si>
  <si>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</si>
  <si>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</si>
  <si>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</si>
  <si>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</si>
  <si>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</si>
  <si>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</si>
  <si>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</si>
  <si>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</si>
  <si>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</si>
  <si>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</si>
  <si>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CUST0127</t>
  </si>
  <si>
    <t>Customer 0127</t>
  </si>
  <si>
    <t>ORD00977</t>
  </si>
  <si>
    <t>ORD00978</t>
  </si>
  <si>
    <t>ORD00979</t>
  </si>
  <si>
    <t>ORD00980</t>
  </si>
  <si>
    <t>ORD00981</t>
  </si>
  <si>
    <t>ORD00982</t>
  </si>
  <si>
    <t>ORD00983</t>
  </si>
  <si>
    <t>CUST0113</t>
  </si>
  <si>
    <t>Customer 0113</t>
  </si>
  <si>
    <t>ORD00984</t>
  </si>
  <si>
    <t>ORD00985</t>
  </si>
  <si>
    <t>ORD00986</t>
  </si>
  <si>
    <t>ORD00987</t>
  </si>
  <si>
    <t>ORD00988</t>
  </si>
  <si>
    <t>CUST0370</t>
  </si>
  <si>
    <t>Customer 0370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</si>
  <si>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</si>
  <si>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</si>
  <si>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</si>
  <si>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</si>
  <si>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</si>
  <si>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</si>
  <si>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</si>
  <si>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</si>
  <si>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CUST0321</t>
  </si>
  <si>
    <t>Customer 0321</t>
  </si>
  <si>
    <t>ORD00997</t>
  </si>
  <si>
    <t>ORD00998</t>
  </si>
  <si>
    <t>ORD00999</t>
  </si>
  <si>
    <t>CUST0020</t>
  </si>
  <si>
    <t>Customer 0020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</si>
  <si>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</si>
  <si>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</si>
  <si>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</si>
  <si>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</si>
  <si>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</si>
  <si>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</si>
  <si>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</si>
  <si>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</si>
  <si>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</si>
  <si>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</si>
  <si>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</si>
  <si>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</si>
  <si>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CUST0115</t>
  </si>
  <si>
    <t>Customer 0115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</si>
  <si>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</si>
  <si>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</si>
  <si>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</si>
  <si>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</si>
  <si>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</si>
  <si>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</si>
  <si>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</si>
  <si>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</si>
  <si>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</si>
  <si>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CUST0081</t>
  </si>
  <si>
    <t>Customer 0081</t>
  </si>
  <si>
    <t>ORD01021</t>
  </si>
  <si>
    <t>ORD01022</t>
  </si>
  <si>
    <t>ORD01023</t>
  </si>
  <si>
    <t>ORD01024</t>
  </si>
  <si>
    <t>ORD01025</t>
  </si>
  <si>
    <t>CUST0351</t>
  </si>
  <si>
    <t>Customer 0351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</si>
  <si>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</si>
  <si>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</si>
  <si>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</si>
  <si>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</si>
  <si>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</si>
  <si>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</si>
  <si>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</si>
  <si>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</si>
  <si>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</si>
  <si>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</si>
  <si>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</si>
  <si>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</si>
  <si>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</si>
  <si>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</si>
  <si>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</si>
  <si>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</si>
  <si>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</si>
  <si>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</si>
  <si>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</si>
  <si>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CUST0346</t>
  </si>
  <si>
    <t>Customer 0346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</si>
  <si>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</si>
  <si>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</si>
  <si>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</si>
  <si>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</si>
  <si>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</si>
  <si>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</si>
  <si>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</si>
  <si>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</si>
  <si>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</si>
  <si>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</si>
  <si>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</si>
  <si>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</si>
  <si>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</si>
  <si>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</si>
  <si>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</si>
  <si>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</si>
  <si>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</si>
  <si>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</si>
  <si>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</si>
  <si>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</si>
  <si>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</si>
  <si>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</si>
  <si>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</si>
  <si>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</si>
  <si>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</si>
  <si>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</si>
  <si>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</si>
  <si>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</si>
  <si>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</si>
  <si>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</si>
  <si>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</si>
  <si>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</si>
  <si>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</si>
  <si>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</si>
  <si>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</si>
  <si>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</si>
  <si>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</si>
  <si>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</si>
  <si>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</si>
  <si>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</si>
  <si>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</si>
  <si>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</si>
  <si>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</si>
  <si>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</si>
  <si>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</si>
  <si>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</si>
  <si>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</si>
  <si>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</si>
  <si>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</si>
  <si>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CUST0031</t>
  </si>
  <si>
    <t>Customer 0031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</si>
  <si>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</si>
  <si>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</si>
  <si>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</si>
  <si>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</si>
  <si>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</si>
  <si>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</si>
  <si>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</si>
  <si>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</si>
  <si>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</si>
  <si>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</si>
  <si>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</si>
  <si>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</si>
  <si>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</si>
  <si>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</si>
  <si>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</si>
  <si>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</si>
  <si>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</si>
  <si>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</si>
  <si>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</si>
  <si>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</si>
  <si>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</si>
  <si>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CUST0300</t>
  </si>
  <si>
    <t>Customer 0300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</si>
  <si>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</si>
  <si>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</si>
  <si>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</si>
  <si>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</si>
  <si>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</si>
  <si>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</si>
  <si>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</si>
  <si>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</si>
  <si>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CUST0086</t>
  </si>
  <si>
    <t>Customer 0086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</si>
  <si>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</si>
  <si>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</si>
  <si>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</si>
  <si>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</si>
  <si>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</si>
  <si>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</si>
  <si>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</si>
  <si>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</si>
  <si>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</si>
  <si>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CUST0122</t>
  </si>
  <si>
    <t>Customer 0122</t>
  </si>
  <si>
    <t>ORD01132</t>
  </si>
  <si>
    <t>ORD01133</t>
  </si>
  <si>
    <t>ORD01134</t>
  </si>
  <si>
    <t>ORD01135</t>
  </si>
  <si>
    <t>ORD01136</t>
  </si>
  <si>
    <t>CUST0347</t>
  </si>
  <si>
    <t>Customer 0347</t>
  </si>
  <si>
    <t>ORD01137</t>
  </si>
  <si>
    <t>ORD01138</t>
  </si>
  <si>
    <t>ORD01139</t>
  </si>
  <si>
    <t>ORD01140</t>
  </si>
  <si>
    <t>ORD01141</t>
  </si>
  <si>
    <t>CUST0117</t>
  </si>
  <si>
    <t>Customer 0117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</si>
  <si>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</si>
  <si>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</si>
  <si>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</si>
  <si>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</si>
  <si>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</si>
  <si>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</si>
  <si>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</si>
  <si>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</si>
  <si>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</si>
  <si>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</si>
  <si>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</si>
  <si>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</si>
  <si>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</si>
  <si>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CUST0309</t>
  </si>
  <si>
    <t>Customer 0309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</si>
  <si>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</si>
  <si>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</si>
  <si>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</si>
  <si>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</si>
  <si>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</si>
  <si>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</si>
  <si>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</si>
  <si>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</si>
  <si>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</si>
  <si>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</si>
  <si>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</si>
  <si>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</si>
  <si>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</si>
  <si>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</si>
  <si>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</si>
  <si>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</si>
  <si>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</si>
  <si>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</si>
  <si>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</si>
  <si>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</si>
  <si>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</si>
  <si>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</si>
  <si>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</si>
  <si>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</si>
  <si>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</si>
  <si>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</si>
  <si>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</si>
  <si>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</si>
  <si>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</si>
  <si>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</si>
  <si>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</si>
  <si>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</si>
  <si>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</si>
  <si>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</si>
  <si>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</si>
  <si>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</si>
  <si>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</si>
  <si>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</si>
  <si>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</si>
  <si>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</si>
  <si>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</si>
  <si>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</si>
  <si>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</si>
  <si>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</si>
  <si>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</si>
  <si>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</si>
  <si>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</si>
  <si>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</si>
  <si>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</si>
  <si>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</si>
  <si>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</si>
  <si>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</si>
  <si>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</si>
  <si>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</si>
  <si>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</si>
  <si>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</si>
  <si>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</si>
  <si>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</si>
  <si>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</si>
  <si>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</si>
  <si>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</si>
  <si>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</si>
  <si>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</si>
  <si>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</si>
  <si>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</si>
  <si>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</si>
  <si>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</si>
  <si>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</si>
  <si>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</si>
  <si>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</si>
  <si>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</si>
  <si>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</si>
  <si>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</si>
  <si>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</si>
  <si>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</si>
  <si>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</si>
  <si>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</si>
  <si>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</si>
  <si>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</si>
  <si>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</si>
  <si>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</si>
  <si>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</si>
  <si>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</si>
  <si>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</si>
  <si>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</si>
  <si>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</si>
  <si>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</si>
  <si>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</si>
  <si>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CUST0374</t>
  </si>
  <si>
    <t>Customer 0374</t>
  </si>
  <si>
    <t>ORD01243</t>
  </si>
  <si>
    <t>ORD01244</t>
  </si>
  <si>
    <t>ORD01245</t>
  </si>
  <si>
    <t>ORD01246</t>
  </si>
  <si>
    <t>ORD01247</t>
  </si>
  <si>
    <t>CUST0128</t>
  </si>
  <si>
    <t>Customer 0128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</si>
  <si>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</si>
  <si>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</si>
  <si>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</si>
  <si>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</si>
  <si>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</si>
  <si>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</si>
  <si>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</si>
  <si>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</si>
  <si>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</si>
  <si>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</si>
  <si>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</si>
  <si>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</si>
  <si>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</si>
  <si>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</si>
  <si>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</si>
  <si>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</si>
  <si>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</si>
  <si>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</si>
  <si>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</si>
  <si>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</si>
  <si>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</si>
  <si>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</si>
  <si>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</si>
  <si>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</si>
  <si>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</si>
  <si>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</si>
  <si>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</si>
  <si>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</si>
  <si>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</si>
  <si>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</si>
  <si>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</si>
  <si>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</si>
  <si>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</si>
  <si>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</si>
  <si>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</si>
  <si>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</si>
  <si>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</si>
  <si>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CUST0167</t>
  </si>
  <si>
    <t>Customer 0167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</si>
  <si>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</si>
  <si>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</si>
  <si>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</si>
  <si>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</si>
  <si>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</si>
  <si>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</si>
  <si>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</si>
  <si>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</si>
  <si>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</si>
  <si>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</si>
  <si>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</si>
  <si>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</si>
  <si>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</si>
  <si>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</si>
  <si>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</si>
  <si>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</si>
  <si>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</si>
  <si>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</si>
  <si>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</si>
  <si>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</si>
  <si>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CUST0049</t>
  </si>
  <si>
    <t>Customer 0049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</si>
  <si>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</si>
  <si>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</si>
  <si>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</si>
  <si>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</si>
  <si>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</si>
  <si>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</si>
  <si>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</si>
  <si>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</si>
  <si>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</si>
  <si>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</si>
  <si>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</si>
  <si>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</si>
  <si>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</si>
  <si>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</si>
  <si>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</si>
  <si>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CUST0249</t>
  </si>
  <si>
    <t>Customer 0249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</si>
  <si>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</si>
  <si>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</si>
  <si>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</si>
  <si>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</si>
  <si>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</si>
  <si>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</si>
  <si>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</si>
  <si>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</si>
  <si>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</si>
  <si>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</si>
  <si>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</si>
  <si>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</si>
  <si>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</si>
  <si>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</si>
  <si>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CUST0207</t>
  </si>
  <si>
    <t>Customer 0207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</si>
  <si>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</si>
  <si>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</si>
  <si>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</si>
  <si>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</si>
  <si>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</si>
  <si>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</si>
  <si>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</si>
  <si>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</si>
  <si>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</si>
  <si>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</si>
  <si>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</si>
  <si>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</si>
  <si>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</si>
  <si>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</si>
  <si>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</si>
  <si>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CUST0290</t>
  </si>
  <si>
    <t>Customer 0290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</si>
  <si>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</si>
  <si>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</si>
  <si>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</si>
  <si>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</si>
  <si>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</si>
  <si>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</si>
  <si>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</si>
  <si>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</si>
  <si>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</si>
  <si>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CUST0386</t>
  </si>
  <si>
    <t>Customer 0386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</si>
  <si>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</si>
  <si>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</si>
  <si>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</si>
  <si>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</si>
  <si>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</si>
  <si>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</si>
  <si>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</si>
  <si>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</si>
  <si>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</si>
  <si>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</si>
  <si>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</si>
  <si>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</si>
  <si>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</si>
  <si>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</si>
  <si>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</si>
  <si>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</si>
  <si>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</si>
  <si>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</si>
  <si>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</si>
  <si>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CUST0326</t>
  </si>
  <si>
    <t>Customer 0326</t>
  </si>
  <si>
    <t>ORD01377</t>
  </si>
  <si>
    <t>ORD01378</t>
  </si>
  <si>
    <t>ORD01379</t>
  </si>
  <si>
    <t>ORD01380</t>
  </si>
  <si>
    <t>CUST0223</t>
  </si>
  <si>
    <t>Customer 0223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</si>
  <si>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</si>
  <si>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</si>
  <si>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</si>
  <si>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</si>
  <si>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</si>
  <si>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</si>
  <si>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</si>
  <si>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</si>
  <si>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</si>
  <si>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</si>
  <si>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</si>
  <si>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</si>
  <si>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CUST0088</t>
  </si>
  <si>
    <t>Customer 0088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</si>
  <si>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</si>
  <si>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</si>
  <si>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</si>
  <si>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</si>
  <si>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</si>
  <si>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</si>
  <si>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</si>
  <si>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</si>
  <si>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CUST0261</t>
  </si>
  <si>
    <t>Customer 0261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</si>
  <si>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</si>
  <si>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</si>
  <si>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</si>
  <si>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</si>
  <si>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</si>
  <si>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</si>
  <si>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</si>
  <si>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</si>
  <si>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</si>
  <si>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</si>
  <si>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</si>
  <si>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</si>
  <si>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</si>
  <si>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</si>
  <si>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</si>
  <si>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</si>
  <si>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</si>
  <si>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</si>
  <si>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</si>
  <si>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</si>
  <si>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</si>
  <si>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</si>
  <si>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</si>
  <si>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</si>
  <si>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</si>
  <si>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</si>
  <si>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CUST0082</t>
  </si>
  <si>
    <t>Customer 0082</t>
  </si>
  <si>
    <t>ORD01427</t>
  </si>
  <si>
    <t>CUST0372</t>
  </si>
  <si>
    <t>Customer 0372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</si>
  <si>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</si>
  <si>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</si>
  <si>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</si>
  <si>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</si>
  <si>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</si>
  <si>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</si>
  <si>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</si>
  <si>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</si>
  <si>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</si>
  <si>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</si>
  <si>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</si>
  <si>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</si>
  <si>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</si>
  <si>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</si>
  <si>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</si>
  <si>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</si>
  <si>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</si>
  <si>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</si>
  <si>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</si>
  <si>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</si>
  <si>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</si>
  <si>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</si>
  <si>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</si>
  <si>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</si>
  <si>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</si>
  <si>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</si>
  <si>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</si>
  <si>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</si>
  <si>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</si>
  <si>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</si>
  <si>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</si>
  <si>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</si>
  <si>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</si>
  <si>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</si>
  <si>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</si>
  <si>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</si>
  <si>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</si>
  <si>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</si>
  <si>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</si>
  <si>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</si>
  <si>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</si>
  <si>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</si>
  <si>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</si>
  <si>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</si>
  <si>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</si>
  <si>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</si>
  <si>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</si>
  <si>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</si>
  <si>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</si>
  <si>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</si>
  <si>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</si>
  <si>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</si>
  <si>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</si>
  <si>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</si>
  <si>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</si>
  <si>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</si>
  <si>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</si>
  <si>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</si>
  <si>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</si>
  <si>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</si>
  <si>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</si>
  <si>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</si>
  <si>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</si>
  <si>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</si>
  <si>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</si>
  <si>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</si>
  <si>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</si>
  <si>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</si>
  <si>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</si>
  <si>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</si>
  <si>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</si>
  <si>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CUST0365</t>
  </si>
  <si>
    <t>Customer 0365</t>
  </si>
  <si>
    <t>ORD01499</t>
  </si>
  <si>
    <t>ORD01500</t>
  </si>
  <si>
    <t>Customer &amp; Sales Analytics</t>
  </si>
  <si>
    <t>Total Orders</t>
  </si>
  <si>
    <t>Total Customers</t>
  </si>
  <si>
    <t>Total Quantity</t>
  </si>
  <si>
    <t>Total Sales</t>
  </si>
  <si>
    <t>Total Profit</t>
  </si>
  <si>
    <t>Profit Margin</t>
  </si>
  <si>
    <t>Average Order Value</t>
  </si>
  <si>
    <t>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</si>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</sst>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0" fontId="0" fillId="0" borderId="0" xfId="0" applyNumberFormat="1"/>
    <xf numFmtId="9" fontId="0" fillId="0" borderId="0" xfId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22FD43-5D5B-4FEC-A39A-B73B86FC6BFF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Region" tableColumnId="5"/>
      <queryTableField id="6" name="Segment" tableColumnId="6"/>
      <queryTableField id="7" name="Category" tableColumnId="7"/>
      <queryTableField id="8" name="Product" tableColumnId="8"/>
      <queryTableField id="9" name="Quantity" tableColumnId="9"/>
      <queryTableField id="10" name="Sales" tableColumnId="10"/>
      <queryTableField id="11" name="Discount" tableColumnId="11"/>
      <queryTableField id="12" name="Profit" tableColumnId="12"/>
      <queryTableField id="13" name="Payment_Mod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8B6A4-F144-4E96-8189-29D9D930CF6B}" name="SalesData" displayName="SalesData" ref="A1:M1501" tableType="queryTable" totalsRowShown="0">
  <autoFilter ref="A1:M1501" xr:uid="{B0D8B6A4-F144-4E96-8189-29D9D930CF6B}"/>
  <tableColumns count="13">
    <tableColumn id="1" xr3:uid="{559E48F2-F560-434D-845B-EF2C97DF0D91}" uniqueName="1" name="Order_ID" queryTableFieldId="1" dataDxfId="8"/>
    <tableColumn id="2" xr3:uid="{C16B615D-25BD-44FB-9897-9D3B28CAD899}" uniqueName="2" name="Order_Date" queryTableFieldId="2" dataDxfId="7"/>
    <tableColumn id="3" xr3:uid="{2494295C-35BF-444E-85C3-72636DE46B62}" uniqueName="3" name="Customer_ID" queryTableFieldId="3" dataDxfId="6"/>
    <tableColumn id="4" xr3:uid="{1195D0A2-48E0-49AE-ABA6-448A5287E1B1}" uniqueName="4" name="Customer_Name" queryTableFieldId="4" dataDxfId="5"/>
    <tableColumn id="5" xr3:uid="{57BE1514-7368-4235-8100-204808837F54}" uniqueName="5" name="Region" queryTableFieldId="5" dataDxfId="4"/>
    <tableColumn id="6" xr3:uid="{89134B05-F0CB-4537-AD6A-AA7596494A3A}" uniqueName="6" name="Segment" queryTableFieldId="6" dataDxfId="3"/>
    <tableColumn id="7" xr3:uid="{76D28086-608A-4A0B-B54B-2AA299664464}" uniqueName="7" name="Category" queryTableFieldId="7" dataDxfId="2"/>
    <tableColumn id="8" xr3:uid="{38589CF8-E3D1-430B-9A17-CEA0F476E5E6}" uniqueName="8" name="Product" queryTableFieldId="8" dataDxfId="1"/>
    <tableColumn id="9" xr3:uid="{EA33626E-EFA7-42FE-8193-AB266DC2DAEB}" uniqueName="9" name="Quantity" queryTableFieldId="9"/>
    <tableColumn id="10" xr3:uid="{E5FF1FE6-E488-42D6-AD36-30D44AE40BAA}" uniqueName="10" name="Sales" queryTableFieldId="10"/>
    <tableColumn id="11" xr3:uid="{7D8F74F6-F0F9-4769-A813-DB16D4F94023}" uniqueName="11" name="Discount" queryTableFieldId="11"/>
    <tableColumn id="12" xr3:uid="{AFEAD6FB-158F-4090-B296-8AC0E725AE28}" uniqueName="12" name="Profit" queryTableFieldId="12"/>
    <tableColumn id="13" xr3:uid="{5F849409-FC32-4775-96FE-AA9B62689FB1}" uniqueName="13" name="Payment_Mod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9F1C-B1A0-4FAA-975D-FAC6E4C91FCF}">
  <dimension ref="A1:M1501"/>
  <sheetViews>
    <sheetView topLeftCell="A1478" workbookViewId="0">
      <selection activeCell="I1484" sqref="I1484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9" bestFit="1" customWidth="1"/>
    <col min="6" max="6" width="12.6640625" bestFit="1" customWidth="1"/>
    <col min="7" max="7" width="13.109375" bestFit="1" customWidth="1"/>
    <col min="8" max="8" width="15.44140625" bestFit="1" customWidth="1"/>
    <col min="9" max="9" width="10.5546875" bestFit="1" customWidth="1"/>
    <col min="10" max="10" width="10" bestFit="1" customWidth="1"/>
    <col min="11" max="11" width="10.5546875" bestFit="1" customWidth="1"/>
    <col min="12" max="12" width="9" bestFit="1" customWidth="1"/>
    <col min="13" max="13" width="16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2">
        <v>45760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>
        <v>1</v>
      </c>
      <c r="J2">
        <v>1542.13</v>
      </c>
      <c r="K2">
        <v>0.1</v>
      </c>
      <c r="L2">
        <v>451.46</v>
      </c>
      <c r="M2" s="1" t="s">
        <v>20</v>
      </c>
    </row>
    <row r="3" spans="1:13" x14ac:dyDescent="0.3">
      <c r="A3" s="1" t="s">
        <v>21</v>
      </c>
      <c r="B3" s="2">
        <v>46006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>
        <v>1</v>
      </c>
      <c r="J3">
        <v>1902.17</v>
      </c>
      <c r="K3">
        <v>0.1</v>
      </c>
      <c r="L3">
        <v>435.07</v>
      </c>
      <c r="M3" s="1" t="s">
        <v>28</v>
      </c>
    </row>
    <row r="4" spans="1:13" x14ac:dyDescent="0.3">
      <c r="A4" s="1" t="s">
        <v>29</v>
      </c>
      <c r="B4" s="2">
        <v>45928</v>
      </c>
      <c r="C4" s="1" t="s">
        <v>30</v>
      </c>
      <c r="D4" s="1" t="s">
        <v>31</v>
      </c>
      <c r="E4" s="1" t="s">
        <v>24</v>
      </c>
      <c r="F4" s="1" t="s">
        <v>17</v>
      </c>
      <c r="G4" s="1" t="s">
        <v>32</v>
      </c>
      <c r="H4" s="1" t="s">
        <v>33</v>
      </c>
      <c r="I4">
        <v>1</v>
      </c>
      <c r="J4">
        <v>12523.68</v>
      </c>
      <c r="K4">
        <v>0.05</v>
      </c>
      <c r="L4">
        <v>3326.81</v>
      </c>
      <c r="M4" s="1" t="s">
        <v>20</v>
      </c>
    </row>
    <row r="5" spans="1:13" x14ac:dyDescent="0.3">
      <c r="A5" s="1" t="s">
        <v>34</v>
      </c>
      <c r="B5" s="2">
        <v>45764</v>
      </c>
      <c r="C5" s="1" t="s">
        <v>35</v>
      </c>
      <c r="D5" s="1" t="s">
        <v>36</v>
      </c>
      <c r="E5" s="1" t="s">
        <v>37</v>
      </c>
      <c r="F5" s="1" t="s">
        <v>17</v>
      </c>
      <c r="G5" s="1" t="s">
        <v>32</v>
      </c>
      <c r="H5" s="1" t="s">
        <v>38</v>
      </c>
      <c r="I5">
        <v>2</v>
      </c>
      <c r="J5">
        <v>15057.71</v>
      </c>
      <c r="K5">
        <v>0.25</v>
      </c>
      <c r="L5">
        <v>2908.66</v>
      </c>
      <c r="M5" s="1" t="s">
        <v>39</v>
      </c>
    </row>
    <row r="6" spans="1:13" x14ac:dyDescent="0.3">
      <c r="A6" s="1" t="s">
        <v>40</v>
      </c>
      <c r="B6" s="2">
        <v>45729</v>
      </c>
      <c r="C6" s="1" t="s">
        <v>41</v>
      </c>
      <c r="D6" s="1" t="s">
        <v>42</v>
      </c>
      <c r="E6" s="1" t="s">
        <v>43</v>
      </c>
      <c r="F6" s="1" t="s">
        <v>25</v>
      </c>
      <c r="G6" s="1" t="s">
        <v>44</v>
      </c>
      <c r="H6" s="1" t="s">
        <v>45</v>
      </c>
      <c r="I6">
        <v>2</v>
      </c>
      <c r="J6">
        <v>17747.72</v>
      </c>
      <c r="K6">
        <v>0</v>
      </c>
      <c r="L6">
        <v>4006.14</v>
      </c>
      <c r="M6" s="1" t="s">
        <v>20</v>
      </c>
    </row>
    <row r="7" spans="1:13" x14ac:dyDescent="0.3">
      <c r="A7" s="1" t="s">
        <v>46</v>
      </c>
      <c r="B7" s="2">
        <v>45846</v>
      </c>
      <c r="C7" s="1" t="s">
        <v>47</v>
      </c>
      <c r="D7" s="1" t="s">
        <v>48</v>
      </c>
      <c r="E7" s="1" t="s">
        <v>43</v>
      </c>
      <c r="F7" s="1" t="s">
        <v>17</v>
      </c>
      <c r="G7" s="1" t="s">
        <v>26</v>
      </c>
      <c r="H7" s="1" t="s">
        <v>49</v>
      </c>
      <c r="I7">
        <v>1</v>
      </c>
      <c r="J7">
        <v>2084.8200000000002</v>
      </c>
      <c r="K7">
        <v>0.1</v>
      </c>
      <c r="L7">
        <v>575.04</v>
      </c>
      <c r="M7" s="1" t="s">
        <v>50</v>
      </c>
    </row>
    <row r="8" spans="1:13" x14ac:dyDescent="0.3">
      <c r="A8" s="1" t="s">
        <v>51</v>
      </c>
      <c r="B8" s="2">
        <v>45678</v>
      </c>
      <c r="C8" s="1" t="s">
        <v>52</v>
      </c>
      <c r="D8" s="1" t="s">
        <v>53</v>
      </c>
      <c r="E8" s="1" t="s">
        <v>24</v>
      </c>
      <c r="F8" s="1" t="s">
        <v>25</v>
      </c>
      <c r="G8" s="1" t="s">
        <v>32</v>
      </c>
      <c r="H8" s="1" t="s">
        <v>54</v>
      </c>
      <c r="I8">
        <v>9</v>
      </c>
      <c r="J8">
        <v>145648.07999999999</v>
      </c>
      <c r="K8">
        <v>0.2</v>
      </c>
      <c r="L8">
        <v>31422.58</v>
      </c>
      <c r="M8" s="1" t="s">
        <v>55</v>
      </c>
    </row>
    <row r="9" spans="1:13" x14ac:dyDescent="0.3">
      <c r="A9" s="1" t="s">
        <v>56</v>
      </c>
      <c r="B9" s="2">
        <v>45760</v>
      </c>
      <c r="C9" s="1" t="s">
        <v>57</v>
      </c>
      <c r="D9" s="1" t="s">
        <v>58</v>
      </c>
      <c r="E9" s="1" t="s">
        <v>43</v>
      </c>
      <c r="F9" s="1" t="s">
        <v>25</v>
      </c>
      <c r="G9" s="1" t="s">
        <v>32</v>
      </c>
      <c r="H9" s="1" t="s">
        <v>59</v>
      </c>
      <c r="I9">
        <v>10</v>
      </c>
      <c r="J9">
        <v>161782.41</v>
      </c>
      <c r="K9">
        <v>0.15</v>
      </c>
      <c r="L9">
        <v>36414.910000000003</v>
      </c>
      <c r="M9" s="1" t="s">
        <v>28</v>
      </c>
    </row>
    <row r="10" spans="1:13" x14ac:dyDescent="0.3">
      <c r="A10" s="1" t="s">
        <v>60</v>
      </c>
      <c r="B10" s="2">
        <v>45779</v>
      </c>
      <c r="C10" s="1" t="s">
        <v>61</v>
      </c>
      <c r="D10" s="1" t="s">
        <v>62</v>
      </c>
      <c r="E10" s="1" t="s">
        <v>43</v>
      </c>
      <c r="F10" s="1" t="s">
        <v>25</v>
      </c>
      <c r="G10" s="1" t="s">
        <v>18</v>
      </c>
      <c r="H10" s="1" t="s">
        <v>19</v>
      </c>
      <c r="I10">
        <v>6</v>
      </c>
      <c r="J10">
        <v>16330.92</v>
      </c>
      <c r="K10">
        <v>0</v>
      </c>
      <c r="L10">
        <v>5216.88</v>
      </c>
      <c r="M10" s="1" t="s">
        <v>39</v>
      </c>
    </row>
    <row r="11" spans="1:13" x14ac:dyDescent="0.3">
      <c r="A11" s="1" t="s">
        <v>63</v>
      </c>
      <c r="B11" s="2">
        <v>45872</v>
      </c>
      <c r="C11" s="1" t="s">
        <v>64</v>
      </c>
      <c r="D11" s="1" t="s">
        <v>65</v>
      </c>
      <c r="E11" s="1" t="s">
        <v>37</v>
      </c>
      <c r="F11" s="1" t="s">
        <v>25</v>
      </c>
      <c r="G11" s="1" t="s">
        <v>32</v>
      </c>
      <c r="H11" s="1" t="s">
        <v>59</v>
      </c>
      <c r="I11">
        <v>10</v>
      </c>
      <c r="J11">
        <v>133436.95000000001</v>
      </c>
      <c r="K11">
        <v>0.15</v>
      </c>
      <c r="L11">
        <v>29940.3</v>
      </c>
      <c r="M11" s="1" t="s">
        <v>20</v>
      </c>
    </row>
    <row r="12" spans="1:13" x14ac:dyDescent="0.3">
      <c r="A12" s="1" t="s">
        <v>66</v>
      </c>
      <c r="B12" s="2">
        <v>45988</v>
      </c>
      <c r="C12" s="1" t="s">
        <v>67</v>
      </c>
      <c r="D12" s="1" t="s">
        <v>68</v>
      </c>
      <c r="E12" s="1" t="s">
        <v>24</v>
      </c>
      <c r="F12" s="1" t="s">
        <v>69</v>
      </c>
      <c r="G12" s="1" t="s">
        <v>44</v>
      </c>
      <c r="H12" s="1" t="s">
        <v>70</v>
      </c>
      <c r="I12">
        <v>9</v>
      </c>
      <c r="J12">
        <v>71803.62</v>
      </c>
      <c r="K12">
        <v>0.05</v>
      </c>
      <c r="L12">
        <v>16012.86</v>
      </c>
      <c r="M12" s="1" t="s">
        <v>28</v>
      </c>
    </row>
    <row r="13" spans="1:13" x14ac:dyDescent="0.3">
      <c r="A13" s="1" t="s">
        <v>71</v>
      </c>
      <c r="B13" s="2">
        <v>45745</v>
      </c>
      <c r="C13" s="1" t="s">
        <v>72</v>
      </c>
      <c r="D13" s="1" t="s">
        <v>73</v>
      </c>
      <c r="E13" s="1" t="s">
        <v>74</v>
      </c>
      <c r="F13" s="1" t="s">
        <v>17</v>
      </c>
      <c r="G13" s="1" t="s">
        <v>44</v>
      </c>
      <c r="H13" s="1" t="s">
        <v>75</v>
      </c>
      <c r="I13">
        <v>10</v>
      </c>
      <c r="J13">
        <v>77175.72</v>
      </c>
      <c r="K13">
        <v>0.2</v>
      </c>
      <c r="L13">
        <v>10072.549999999999</v>
      </c>
      <c r="M13" s="1" t="s">
        <v>20</v>
      </c>
    </row>
    <row r="14" spans="1:13" x14ac:dyDescent="0.3">
      <c r="A14" s="1" t="s">
        <v>76</v>
      </c>
      <c r="B14" s="2">
        <v>45757</v>
      </c>
      <c r="C14" s="1" t="s">
        <v>77</v>
      </c>
      <c r="D14" s="1" t="s">
        <v>78</v>
      </c>
      <c r="E14" s="1" t="s">
        <v>74</v>
      </c>
      <c r="F14" s="1" t="s">
        <v>69</v>
      </c>
      <c r="G14" s="1" t="s">
        <v>32</v>
      </c>
      <c r="H14" s="1" t="s">
        <v>79</v>
      </c>
      <c r="I14">
        <v>7</v>
      </c>
      <c r="J14">
        <v>72827.02</v>
      </c>
      <c r="K14">
        <v>0</v>
      </c>
      <c r="L14">
        <v>14757.91</v>
      </c>
      <c r="M14" s="1" t="s">
        <v>50</v>
      </c>
    </row>
    <row r="15" spans="1:13" x14ac:dyDescent="0.3">
      <c r="A15" s="1" t="s">
        <v>80</v>
      </c>
      <c r="B15" s="2">
        <v>46017</v>
      </c>
      <c r="C15" s="1" t="s">
        <v>81</v>
      </c>
      <c r="D15" s="1" t="s">
        <v>82</v>
      </c>
      <c r="E15" s="1" t="s">
        <v>74</v>
      </c>
      <c r="F15" s="1" t="s">
        <v>25</v>
      </c>
      <c r="G15" s="1" t="s">
        <v>32</v>
      </c>
      <c r="H15" s="1" t="s">
        <v>79</v>
      </c>
      <c r="I15">
        <v>3</v>
      </c>
      <c r="J15">
        <v>27070.1</v>
      </c>
      <c r="K15">
        <v>0.05</v>
      </c>
      <c r="L15">
        <v>4651.8</v>
      </c>
      <c r="M15" s="1" t="s">
        <v>55</v>
      </c>
    </row>
    <row r="16" spans="1:13" x14ac:dyDescent="0.3">
      <c r="A16" s="1" t="s">
        <v>83</v>
      </c>
      <c r="B16" s="2">
        <v>45809</v>
      </c>
      <c r="C16" s="1" t="s">
        <v>84</v>
      </c>
      <c r="D16" s="1" t="s">
        <v>85</v>
      </c>
      <c r="E16" s="1" t="s">
        <v>74</v>
      </c>
      <c r="F16" s="1" t="s">
        <v>25</v>
      </c>
      <c r="G16" s="1" t="s">
        <v>26</v>
      </c>
      <c r="H16" s="1" t="s">
        <v>86</v>
      </c>
      <c r="I16">
        <v>6</v>
      </c>
      <c r="J16">
        <v>24271.57</v>
      </c>
      <c r="K16">
        <v>0.15</v>
      </c>
      <c r="L16">
        <v>5018.96</v>
      </c>
      <c r="M16" s="1" t="s">
        <v>55</v>
      </c>
    </row>
    <row r="17" spans="1:13" x14ac:dyDescent="0.3">
      <c r="A17" s="1" t="s">
        <v>87</v>
      </c>
      <c r="B17" s="2">
        <v>45788</v>
      </c>
      <c r="C17" s="1" t="s">
        <v>88</v>
      </c>
      <c r="D17" s="1" t="s">
        <v>89</v>
      </c>
      <c r="E17" s="1" t="s">
        <v>43</v>
      </c>
      <c r="F17" s="1" t="s">
        <v>25</v>
      </c>
      <c r="G17" s="1" t="s">
        <v>44</v>
      </c>
      <c r="H17" s="1" t="s">
        <v>90</v>
      </c>
      <c r="I17">
        <v>8</v>
      </c>
      <c r="J17">
        <v>36221.120000000003</v>
      </c>
      <c r="K17">
        <v>0.2</v>
      </c>
      <c r="L17">
        <v>8234.83</v>
      </c>
      <c r="M17" s="1" t="s">
        <v>39</v>
      </c>
    </row>
    <row r="18" spans="1:13" x14ac:dyDescent="0.3">
      <c r="A18" s="1" t="s">
        <v>91</v>
      </c>
      <c r="B18" s="2">
        <v>45807</v>
      </c>
      <c r="C18" s="1" t="s">
        <v>92</v>
      </c>
      <c r="D18" s="1" t="s">
        <v>93</v>
      </c>
      <c r="E18" s="1" t="s">
        <v>74</v>
      </c>
      <c r="F18" s="1" t="s">
        <v>25</v>
      </c>
      <c r="G18" s="1" t="s">
        <v>44</v>
      </c>
      <c r="H18" s="1" t="s">
        <v>70</v>
      </c>
      <c r="I18">
        <v>1</v>
      </c>
      <c r="J18">
        <v>7469.37</v>
      </c>
      <c r="K18">
        <v>0.1</v>
      </c>
      <c r="L18">
        <v>1546.46</v>
      </c>
      <c r="M18" s="1" t="s">
        <v>50</v>
      </c>
    </row>
    <row r="19" spans="1:13" x14ac:dyDescent="0.3">
      <c r="A19" s="1" t="s">
        <v>94</v>
      </c>
      <c r="B19" s="2">
        <v>45966</v>
      </c>
      <c r="C19" s="1" t="s">
        <v>95</v>
      </c>
      <c r="D19" s="1" t="s">
        <v>96</v>
      </c>
      <c r="E19" s="1" t="s">
        <v>37</v>
      </c>
      <c r="F19" s="1" t="s">
        <v>17</v>
      </c>
      <c r="G19" s="1" t="s">
        <v>18</v>
      </c>
      <c r="H19" s="1" t="s">
        <v>97</v>
      </c>
      <c r="I19">
        <v>9</v>
      </c>
      <c r="J19">
        <v>9826.6</v>
      </c>
      <c r="K19">
        <v>0.15</v>
      </c>
      <c r="L19">
        <v>2941.77</v>
      </c>
      <c r="M19" s="1" t="s">
        <v>28</v>
      </c>
    </row>
    <row r="20" spans="1:13" x14ac:dyDescent="0.3">
      <c r="A20" s="1" t="s">
        <v>98</v>
      </c>
      <c r="B20" s="2">
        <v>45915</v>
      </c>
      <c r="C20" s="1" t="s">
        <v>99</v>
      </c>
      <c r="D20" s="1" t="s">
        <v>100</v>
      </c>
      <c r="E20" s="1" t="s">
        <v>37</v>
      </c>
      <c r="F20" s="1" t="s">
        <v>25</v>
      </c>
      <c r="G20" s="1" t="s">
        <v>32</v>
      </c>
      <c r="H20" s="1" t="s">
        <v>38</v>
      </c>
      <c r="I20">
        <v>1</v>
      </c>
      <c r="J20">
        <v>21185.31</v>
      </c>
      <c r="K20">
        <v>0</v>
      </c>
      <c r="L20">
        <v>5150.72</v>
      </c>
      <c r="M20" s="1" t="s">
        <v>39</v>
      </c>
    </row>
    <row r="21" spans="1:13" x14ac:dyDescent="0.3">
      <c r="A21" s="1" t="s">
        <v>101</v>
      </c>
      <c r="B21" s="2">
        <v>46001</v>
      </c>
      <c r="C21" s="1" t="s">
        <v>102</v>
      </c>
      <c r="D21" s="1" t="s">
        <v>103</v>
      </c>
      <c r="E21" s="1" t="s">
        <v>74</v>
      </c>
      <c r="F21" s="1" t="s">
        <v>69</v>
      </c>
      <c r="G21" s="1" t="s">
        <v>26</v>
      </c>
      <c r="H21" s="1" t="s">
        <v>86</v>
      </c>
      <c r="I21">
        <v>3</v>
      </c>
      <c r="J21">
        <v>7447.27</v>
      </c>
      <c r="K21">
        <v>0.1</v>
      </c>
      <c r="L21">
        <v>2028.95</v>
      </c>
      <c r="M21" s="1" t="s">
        <v>50</v>
      </c>
    </row>
    <row r="22" spans="1:13" x14ac:dyDescent="0.3">
      <c r="A22" s="1" t="s">
        <v>104</v>
      </c>
      <c r="B22" s="2">
        <v>45951</v>
      </c>
      <c r="C22" s="1" t="s">
        <v>105</v>
      </c>
      <c r="D22" s="1" t="s">
        <v>106</v>
      </c>
      <c r="E22" s="1" t="s">
        <v>43</v>
      </c>
      <c r="F22" s="1" t="s">
        <v>69</v>
      </c>
      <c r="G22" s="1" t="s">
        <v>32</v>
      </c>
      <c r="H22" s="1" t="s">
        <v>33</v>
      </c>
      <c r="I22">
        <v>8</v>
      </c>
      <c r="J22">
        <v>75463.75</v>
      </c>
      <c r="K22">
        <v>0.05</v>
      </c>
      <c r="L22">
        <v>13516.8</v>
      </c>
      <c r="M22" s="1" t="s">
        <v>28</v>
      </c>
    </row>
    <row r="23" spans="1:13" x14ac:dyDescent="0.3">
      <c r="A23" s="1" t="s">
        <v>107</v>
      </c>
      <c r="B23" s="2">
        <v>45849</v>
      </c>
      <c r="C23" s="1" t="s">
        <v>108</v>
      </c>
      <c r="D23" s="1" t="s">
        <v>109</v>
      </c>
      <c r="E23" s="1" t="s">
        <v>16</v>
      </c>
      <c r="F23" s="1" t="s">
        <v>69</v>
      </c>
      <c r="G23" s="1" t="s">
        <v>18</v>
      </c>
      <c r="H23" s="1" t="s">
        <v>97</v>
      </c>
      <c r="I23">
        <v>5</v>
      </c>
      <c r="J23">
        <v>9867.39</v>
      </c>
      <c r="K23">
        <v>0.25</v>
      </c>
      <c r="L23">
        <v>2452.5</v>
      </c>
      <c r="M23" s="1" t="s">
        <v>55</v>
      </c>
    </row>
    <row r="24" spans="1:13" x14ac:dyDescent="0.3">
      <c r="A24" s="1" t="s">
        <v>110</v>
      </c>
      <c r="B24" s="2">
        <v>45934</v>
      </c>
      <c r="C24" s="1" t="s">
        <v>111</v>
      </c>
      <c r="D24" s="1" t="s">
        <v>112</v>
      </c>
      <c r="E24" s="1" t="s">
        <v>16</v>
      </c>
      <c r="F24" s="1" t="s">
        <v>69</v>
      </c>
      <c r="G24" s="1" t="s">
        <v>32</v>
      </c>
      <c r="H24" s="1" t="s">
        <v>33</v>
      </c>
      <c r="I24">
        <v>9</v>
      </c>
      <c r="J24">
        <v>85109.5</v>
      </c>
      <c r="K24">
        <v>0.1</v>
      </c>
      <c r="L24">
        <v>15015.09</v>
      </c>
      <c r="M24" s="1" t="s">
        <v>50</v>
      </c>
    </row>
    <row r="25" spans="1:13" x14ac:dyDescent="0.3">
      <c r="A25" s="1" t="s">
        <v>113</v>
      </c>
      <c r="B25" s="2">
        <v>45818</v>
      </c>
      <c r="C25" s="1" t="s">
        <v>114</v>
      </c>
      <c r="D25" s="1" t="s">
        <v>115</v>
      </c>
      <c r="E25" s="1" t="s">
        <v>74</v>
      </c>
      <c r="F25" s="1" t="s">
        <v>25</v>
      </c>
      <c r="G25" s="1" t="s">
        <v>32</v>
      </c>
      <c r="H25" s="1" t="s">
        <v>54</v>
      </c>
      <c r="I25">
        <v>2</v>
      </c>
      <c r="J25">
        <v>31007.51</v>
      </c>
      <c r="K25">
        <v>0.1</v>
      </c>
      <c r="L25">
        <v>8293.58</v>
      </c>
      <c r="M25" s="1" t="s">
        <v>50</v>
      </c>
    </row>
    <row r="26" spans="1:13" x14ac:dyDescent="0.3">
      <c r="A26" s="1" t="s">
        <v>116</v>
      </c>
      <c r="B26" s="2">
        <v>45971</v>
      </c>
      <c r="C26" s="1" t="s">
        <v>117</v>
      </c>
      <c r="D26" s="1" t="s">
        <v>118</v>
      </c>
      <c r="E26" s="1" t="s">
        <v>24</v>
      </c>
      <c r="F26" s="1" t="s">
        <v>17</v>
      </c>
      <c r="G26" s="1" t="s">
        <v>44</v>
      </c>
      <c r="H26" s="1" t="s">
        <v>90</v>
      </c>
      <c r="I26">
        <v>8</v>
      </c>
      <c r="J26">
        <v>82318.83</v>
      </c>
      <c r="K26">
        <v>0.15</v>
      </c>
      <c r="L26">
        <v>11902.66</v>
      </c>
      <c r="M26" s="1" t="s">
        <v>28</v>
      </c>
    </row>
    <row r="27" spans="1:13" x14ac:dyDescent="0.3">
      <c r="A27" s="1" t="s">
        <v>119</v>
      </c>
      <c r="B27" s="2">
        <v>45679</v>
      </c>
      <c r="C27" s="1" t="s">
        <v>120</v>
      </c>
      <c r="D27" s="1" t="s">
        <v>121</v>
      </c>
      <c r="E27" s="1" t="s">
        <v>43</v>
      </c>
      <c r="F27" s="1" t="s">
        <v>25</v>
      </c>
      <c r="G27" s="1" t="s">
        <v>18</v>
      </c>
      <c r="H27" s="1" t="s">
        <v>122</v>
      </c>
      <c r="I27">
        <v>1</v>
      </c>
      <c r="J27">
        <v>1921.88</v>
      </c>
      <c r="K27">
        <v>0</v>
      </c>
      <c r="L27">
        <v>509.42</v>
      </c>
      <c r="M27" s="1" t="s">
        <v>28</v>
      </c>
    </row>
    <row r="28" spans="1:13" x14ac:dyDescent="0.3">
      <c r="A28" s="1" t="s">
        <v>123</v>
      </c>
      <c r="B28" s="2">
        <v>45910</v>
      </c>
      <c r="C28" s="1" t="s">
        <v>124</v>
      </c>
      <c r="D28" s="1" t="s">
        <v>125</v>
      </c>
      <c r="E28" s="1" t="s">
        <v>43</v>
      </c>
      <c r="F28" s="1" t="s">
        <v>69</v>
      </c>
      <c r="G28" s="1" t="s">
        <v>32</v>
      </c>
      <c r="H28" s="1" t="s">
        <v>79</v>
      </c>
      <c r="I28">
        <v>2</v>
      </c>
      <c r="J28">
        <v>38400.339999999997</v>
      </c>
      <c r="K28">
        <v>0</v>
      </c>
      <c r="L28">
        <v>9102.36</v>
      </c>
      <c r="M28" s="1" t="s">
        <v>39</v>
      </c>
    </row>
    <row r="29" spans="1:13" x14ac:dyDescent="0.3">
      <c r="A29" s="1" t="s">
        <v>126</v>
      </c>
      <c r="B29" s="2">
        <v>45893</v>
      </c>
      <c r="C29" s="1" t="s">
        <v>127</v>
      </c>
      <c r="D29" s="1" t="s">
        <v>128</v>
      </c>
      <c r="E29" s="1" t="s">
        <v>24</v>
      </c>
      <c r="F29" s="1" t="s">
        <v>69</v>
      </c>
      <c r="G29" s="1" t="s">
        <v>32</v>
      </c>
      <c r="H29" s="1" t="s">
        <v>54</v>
      </c>
      <c r="I29">
        <v>7</v>
      </c>
      <c r="J29">
        <v>108270.1</v>
      </c>
      <c r="K29">
        <v>0.05</v>
      </c>
      <c r="L29">
        <v>28531.360000000001</v>
      </c>
      <c r="M29" s="1" t="s">
        <v>39</v>
      </c>
    </row>
    <row r="30" spans="1:13" x14ac:dyDescent="0.3">
      <c r="A30" s="1" t="s">
        <v>129</v>
      </c>
      <c r="B30" s="2">
        <v>46002</v>
      </c>
      <c r="C30" s="1" t="s">
        <v>130</v>
      </c>
      <c r="D30" s="1" t="s">
        <v>131</v>
      </c>
      <c r="E30" s="1" t="s">
        <v>37</v>
      </c>
      <c r="F30" s="1" t="s">
        <v>69</v>
      </c>
      <c r="G30" s="1" t="s">
        <v>44</v>
      </c>
      <c r="H30" s="1" t="s">
        <v>75</v>
      </c>
      <c r="I30">
        <v>4</v>
      </c>
      <c r="J30">
        <v>35626.949999999997</v>
      </c>
      <c r="K30">
        <v>0.15</v>
      </c>
      <c r="L30">
        <v>7424.06</v>
      </c>
      <c r="M30" s="1" t="s">
        <v>55</v>
      </c>
    </row>
    <row r="31" spans="1:13" x14ac:dyDescent="0.3">
      <c r="A31" s="1" t="s">
        <v>132</v>
      </c>
      <c r="B31" s="2">
        <v>45706</v>
      </c>
      <c r="C31" s="1" t="s">
        <v>133</v>
      </c>
      <c r="D31" s="1" t="s">
        <v>134</v>
      </c>
      <c r="E31" s="1" t="s">
        <v>43</v>
      </c>
      <c r="F31" s="1" t="s">
        <v>25</v>
      </c>
      <c r="G31" s="1" t="s">
        <v>32</v>
      </c>
      <c r="H31" s="1" t="s">
        <v>38</v>
      </c>
      <c r="I31">
        <v>6</v>
      </c>
      <c r="J31">
        <v>81630.100000000006</v>
      </c>
      <c r="K31">
        <v>0.15</v>
      </c>
      <c r="L31">
        <v>17789.47</v>
      </c>
      <c r="M31" s="1" t="s">
        <v>50</v>
      </c>
    </row>
    <row r="32" spans="1:13" x14ac:dyDescent="0.3">
      <c r="A32" s="1" t="s">
        <v>135</v>
      </c>
      <c r="B32" s="2">
        <v>45716</v>
      </c>
      <c r="C32" s="1" t="s">
        <v>136</v>
      </c>
      <c r="D32" s="1" t="s">
        <v>137</v>
      </c>
      <c r="E32" s="1" t="s">
        <v>74</v>
      </c>
      <c r="F32" s="1" t="s">
        <v>25</v>
      </c>
      <c r="G32" s="1" t="s">
        <v>18</v>
      </c>
      <c r="H32" s="1" t="s">
        <v>122</v>
      </c>
      <c r="I32">
        <v>7</v>
      </c>
      <c r="J32">
        <v>7106.13</v>
      </c>
      <c r="K32">
        <v>0.05</v>
      </c>
      <c r="L32">
        <v>1649.23</v>
      </c>
      <c r="M32" s="1" t="s">
        <v>50</v>
      </c>
    </row>
    <row r="33" spans="1:13" x14ac:dyDescent="0.3">
      <c r="A33" s="1" t="s">
        <v>138</v>
      </c>
      <c r="B33" s="2">
        <v>45827</v>
      </c>
      <c r="C33" s="1" t="s">
        <v>139</v>
      </c>
      <c r="D33" s="1" t="s">
        <v>140</v>
      </c>
      <c r="E33" s="1" t="s">
        <v>43</v>
      </c>
      <c r="F33" s="1" t="s">
        <v>69</v>
      </c>
      <c r="G33" s="1" t="s">
        <v>18</v>
      </c>
      <c r="H33" s="1" t="s">
        <v>141</v>
      </c>
      <c r="I33">
        <v>3</v>
      </c>
      <c r="J33">
        <v>6643.23</v>
      </c>
      <c r="K33">
        <v>0</v>
      </c>
      <c r="L33">
        <v>1548.31</v>
      </c>
      <c r="M33" s="1" t="s">
        <v>28</v>
      </c>
    </row>
    <row r="34" spans="1:13" x14ac:dyDescent="0.3">
      <c r="A34" s="1" t="s">
        <v>142</v>
      </c>
      <c r="B34" s="2">
        <v>45845</v>
      </c>
      <c r="C34" s="1" t="s">
        <v>143</v>
      </c>
      <c r="D34" s="1" t="s">
        <v>144</v>
      </c>
      <c r="E34" s="1" t="s">
        <v>16</v>
      </c>
      <c r="F34" s="1" t="s">
        <v>25</v>
      </c>
      <c r="G34" s="1" t="s">
        <v>18</v>
      </c>
      <c r="H34" s="1" t="s">
        <v>145</v>
      </c>
      <c r="I34">
        <v>5</v>
      </c>
      <c r="J34">
        <v>7257.07</v>
      </c>
      <c r="K34">
        <v>0.1</v>
      </c>
      <c r="L34">
        <v>2385.87</v>
      </c>
      <c r="M34" s="1" t="s">
        <v>28</v>
      </c>
    </row>
    <row r="35" spans="1:13" x14ac:dyDescent="0.3">
      <c r="A35" s="1" t="s">
        <v>146</v>
      </c>
      <c r="B35" s="2">
        <v>45928</v>
      </c>
      <c r="C35" s="1" t="s">
        <v>147</v>
      </c>
      <c r="D35" s="1" t="s">
        <v>148</v>
      </c>
      <c r="E35" s="1" t="s">
        <v>16</v>
      </c>
      <c r="F35" s="1" t="s">
        <v>69</v>
      </c>
      <c r="G35" s="1" t="s">
        <v>26</v>
      </c>
      <c r="H35" s="1" t="s">
        <v>49</v>
      </c>
      <c r="I35">
        <v>2</v>
      </c>
      <c r="J35">
        <v>6243.62</v>
      </c>
      <c r="K35">
        <v>0.15</v>
      </c>
      <c r="L35">
        <v>1657.69</v>
      </c>
      <c r="M35" s="1" t="s">
        <v>39</v>
      </c>
    </row>
    <row r="36" spans="1:13" x14ac:dyDescent="0.3">
      <c r="A36" s="1" t="s">
        <v>149</v>
      </c>
      <c r="B36" s="2">
        <v>45847</v>
      </c>
      <c r="C36" s="1" t="s">
        <v>150</v>
      </c>
      <c r="D36" s="1" t="s">
        <v>151</v>
      </c>
      <c r="E36" s="1" t="s">
        <v>43</v>
      </c>
      <c r="F36" s="1" t="s">
        <v>25</v>
      </c>
      <c r="G36" s="1" t="s">
        <v>32</v>
      </c>
      <c r="H36" s="1" t="s">
        <v>59</v>
      </c>
      <c r="I36">
        <v>8</v>
      </c>
      <c r="J36">
        <v>147470.19</v>
      </c>
      <c r="K36">
        <v>0.05</v>
      </c>
      <c r="L36">
        <v>36513.620000000003</v>
      </c>
      <c r="M36" s="1" t="s">
        <v>55</v>
      </c>
    </row>
    <row r="37" spans="1:13" x14ac:dyDescent="0.3">
      <c r="A37" s="1" t="s">
        <v>152</v>
      </c>
      <c r="B37" s="2">
        <v>45832</v>
      </c>
      <c r="C37" s="1" t="s">
        <v>153</v>
      </c>
      <c r="D37" s="1" t="s">
        <v>154</v>
      </c>
      <c r="E37" s="1" t="s">
        <v>74</v>
      </c>
      <c r="F37" s="1" t="s">
        <v>17</v>
      </c>
      <c r="G37" s="1" t="s">
        <v>44</v>
      </c>
      <c r="H37" s="1" t="s">
        <v>155</v>
      </c>
      <c r="I37">
        <v>5</v>
      </c>
      <c r="J37">
        <v>26467.93</v>
      </c>
      <c r="K37">
        <v>0.1</v>
      </c>
      <c r="L37">
        <v>3698.61</v>
      </c>
      <c r="M37" s="1" t="s">
        <v>55</v>
      </c>
    </row>
    <row r="38" spans="1:13" x14ac:dyDescent="0.3">
      <c r="A38" s="1" t="s">
        <v>156</v>
      </c>
      <c r="B38" s="2">
        <v>45708</v>
      </c>
      <c r="C38" s="1" t="s">
        <v>157</v>
      </c>
      <c r="D38" s="1" t="s">
        <v>158</v>
      </c>
      <c r="E38" s="1" t="s">
        <v>24</v>
      </c>
      <c r="F38" s="1" t="s">
        <v>69</v>
      </c>
      <c r="G38" s="1" t="s">
        <v>44</v>
      </c>
      <c r="H38" s="1" t="s">
        <v>90</v>
      </c>
      <c r="I38">
        <v>9</v>
      </c>
      <c r="J38">
        <v>123414.27</v>
      </c>
      <c r="K38">
        <v>0.05</v>
      </c>
      <c r="L38">
        <v>24148.92</v>
      </c>
      <c r="M38" s="1" t="s">
        <v>55</v>
      </c>
    </row>
    <row r="39" spans="1:13" x14ac:dyDescent="0.3">
      <c r="A39" s="1" t="s">
        <v>159</v>
      </c>
      <c r="B39" s="2">
        <v>46021</v>
      </c>
      <c r="C39" s="1" t="s">
        <v>160</v>
      </c>
      <c r="D39" s="1" t="s">
        <v>161</v>
      </c>
      <c r="E39" s="1" t="s">
        <v>37</v>
      </c>
      <c r="F39" s="1" t="s">
        <v>25</v>
      </c>
      <c r="G39" s="1" t="s">
        <v>44</v>
      </c>
      <c r="H39" s="1" t="s">
        <v>75</v>
      </c>
      <c r="I39">
        <v>10</v>
      </c>
      <c r="J39">
        <v>56270.58</v>
      </c>
      <c r="K39">
        <v>0.05</v>
      </c>
      <c r="L39">
        <v>10239.969999999999</v>
      </c>
      <c r="M39" s="1" t="s">
        <v>55</v>
      </c>
    </row>
    <row r="40" spans="1:13" x14ac:dyDescent="0.3">
      <c r="A40" s="1" t="s">
        <v>162</v>
      </c>
      <c r="B40" s="2">
        <v>45712</v>
      </c>
      <c r="C40" s="1" t="s">
        <v>163</v>
      </c>
      <c r="D40" s="1" t="s">
        <v>164</v>
      </c>
      <c r="E40" s="1" t="s">
        <v>37</v>
      </c>
      <c r="F40" s="1" t="s">
        <v>25</v>
      </c>
      <c r="G40" s="1" t="s">
        <v>26</v>
      </c>
      <c r="H40" s="1" t="s">
        <v>49</v>
      </c>
      <c r="I40">
        <v>1</v>
      </c>
      <c r="J40">
        <v>2311.2800000000002</v>
      </c>
      <c r="K40">
        <v>0.1</v>
      </c>
      <c r="L40">
        <v>549.94000000000005</v>
      </c>
      <c r="M40" s="1" t="s">
        <v>50</v>
      </c>
    </row>
    <row r="41" spans="1:13" x14ac:dyDescent="0.3">
      <c r="A41" s="1" t="s">
        <v>165</v>
      </c>
      <c r="B41" s="2">
        <v>45901</v>
      </c>
      <c r="C41" s="1" t="s">
        <v>166</v>
      </c>
      <c r="D41" s="1" t="s">
        <v>167</v>
      </c>
      <c r="E41" s="1" t="s">
        <v>16</v>
      </c>
      <c r="F41" s="1" t="s">
        <v>69</v>
      </c>
      <c r="G41" s="1" t="s">
        <v>18</v>
      </c>
      <c r="H41" s="1" t="s">
        <v>122</v>
      </c>
      <c r="I41">
        <v>8</v>
      </c>
      <c r="J41">
        <v>13079.28</v>
      </c>
      <c r="K41">
        <v>0.2</v>
      </c>
      <c r="L41">
        <v>3277.46</v>
      </c>
      <c r="M41" s="1" t="s">
        <v>28</v>
      </c>
    </row>
    <row r="42" spans="1:13" x14ac:dyDescent="0.3">
      <c r="A42" s="1" t="s">
        <v>168</v>
      </c>
      <c r="B42" s="2">
        <v>45977</v>
      </c>
      <c r="C42" s="1" t="s">
        <v>169</v>
      </c>
      <c r="D42" s="1" t="s">
        <v>170</v>
      </c>
      <c r="E42" s="1" t="s">
        <v>74</v>
      </c>
      <c r="F42" s="1" t="s">
        <v>17</v>
      </c>
      <c r="G42" s="1" t="s">
        <v>32</v>
      </c>
      <c r="H42" s="1" t="s">
        <v>79</v>
      </c>
      <c r="I42">
        <v>1</v>
      </c>
      <c r="J42">
        <v>8468.58</v>
      </c>
      <c r="K42">
        <v>0.1</v>
      </c>
      <c r="L42">
        <v>2230.52</v>
      </c>
      <c r="M42" s="1" t="s">
        <v>55</v>
      </c>
    </row>
    <row r="43" spans="1:13" x14ac:dyDescent="0.3">
      <c r="A43" s="1" t="s">
        <v>171</v>
      </c>
      <c r="B43" s="2">
        <v>45788</v>
      </c>
      <c r="C43" s="1" t="s">
        <v>172</v>
      </c>
      <c r="D43" s="1" t="s">
        <v>173</v>
      </c>
      <c r="E43" s="1" t="s">
        <v>37</v>
      </c>
      <c r="F43" s="1" t="s">
        <v>17</v>
      </c>
      <c r="G43" s="1" t="s">
        <v>18</v>
      </c>
      <c r="H43" s="1" t="s">
        <v>122</v>
      </c>
      <c r="I43">
        <v>2</v>
      </c>
      <c r="J43">
        <v>2357.4499999999998</v>
      </c>
      <c r="K43">
        <v>0.25</v>
      </c>
      <c r="L43">
        <v>678.97</v>
      </c>
      <c r="M43" s="1" t="s">
        <v>28</v>
      </c>
    </row>
    <row r="44" spans="1:13" x14ac:dyDescent="0.3">
      <c r="A44" s="1" t="s">
        <v>174</v>
      </c>
      <c r="B44" s="2">
        <v>45964</v>
      </c>
      <c r="C44" s="1" t="s">
        <v>175</v>
      </c>
      <c r="D44" s="1" t="s">
        <v>176</v>
      </c>
      <c r="E44" s="1" t="s">
        <v>74</v>
      </c>
      <c r="F44" s="1" t="s">
        <v>25</v>
      </c>
      <c r="G44" s="1" t="s">
        <v>18</v>
      </c>
      <c r="H44" s="1" t="s">
        <v>122</v>
      </c>
      <c r="I44">
        <v>4</v>
      </c>
      <c r="J44">
        <v>8582.02</v>
      </c>
      <c r="K44">
        <v>0.05</v>
      </c>
      <c r="L44">
        <v>2551.8000000000002</v>
      </c>
      <c r="M44" s="1" t="s">
        <v>39</v>
      </c>
    </row>
    <row r="45" spans="1:13" x14ac:dyDescent="0.3">
      <c r="A45" s="1" t="s">
        <v>177</v>
      </c>
      <c r="B45" s="2">
        <v>45792</v>
      </c>
      <c r="C45" s="1" t="s">
        <v>178</v>
      </c>
      <c r="D45" s="1" t="s">
        <v>179</v>
      </c>
      <c r="E45" s="1" t="s">
        <v>43</v>
      </c>
      <c r="F45" s="1" t="s">
        <v>25</v>
      </c>
      <c r="G45" s="1" t="s">
        <v>32</v>
      </c>
      <c r="H45" s="1" t="s">
        <v>59</v>
      </c>
      <c r="I45">
        <v>1</v>
      </c>
      <c r="J45">
        <v>15546.89</v>
      </c>
      <c r="K45">
        <v>0.2</v>
      </c>
      <c r="L45">
        <v>3705.21</v>
      </c>
      <c r="M45" s="1" t="s">
        <v>55</v>
      </c>
    </row>
    <row r="46" spans="1:13" x14ac:dyDescent="0.3">
      <c r="A46" s="1" t="s">
        <v>180</v>
      </c>
      <c r="B46" s="2">
        <v>45678</v>
      </c>
      <c r="C46" s="1" t="s">
        <v>181</v>
      </c>
      <c r="D46" s="1" t="s">
        <v>182</v>
      </c>
      <c r="E46" s="1" t="s">
        <v>24</v>
      </c>
      <c r="F46" s="1" t="s">
        <v>25</v>
      </c>
      <c r="G46" s="1" t="s">
        <v>44</v>
      </c>
      <c r="H46" s="1" t="s">
        <v>90</v>
      </c>
      <c r="I46">
        <v>4</v>
      </c>
      <c r="J46">
        <v>44277.13</v>
      </c>
      <c r="K46">
        <v>0.05</v>
      </c>
      <c r="L46">
        <v>8673.3799999999992</v>
      </c>
      <c r="M46" s="1" t="s">
        <v>55</v>
      </c>
    </row>
    <row r="47" spans="1:13" x14ac:dyDescent="0.3">
      <c r="A47" s="1" t="s">
        <v>183</v>
      </c>
      <c r="B47" s="2">
        <v>45986</v>
      </c>
      <c r="C47" s="1" t="s">
        <v>184</v>
      </c>
      <c r="D47" s="1" t="s">
        <v>185</v>
      </c>
      <c r="E47" s="1" t="s">
        <v>24</v>
      </c>
      <c r="F47" s="1" t="s">
        <v>25</v>
      </c>
      <c r="G47" s="1" t="s">
        <v>44</v>
      </c>
      <c r="H47" s="1" t="s">
        <v>155</v>
      </c>
      <c r="I47">
        <v>1</v>
      </c>
      <c r="J47">
        <v>7272.5</v>
      </c>
      <c r="K47">
        <v>0.2</v>
      </c>
      <c r="L47">
        <v>1514.41</v>
      </c>
      <c r="M47" s="1" t="s">
        <v>50</v>
      </c>
    </row>
    <row r="48" spans="1:13" x14ac:dyDescent="0.3">
      <c r="A48" s="1" t="s">
        <v>186</v>
      </c>
      <c r="B48" s="2">
        <v>45824</v>
      </c>
      <c r="C48" s="1" t="s">
        <v>187</v>
      </c>
      <c r="D48" s="1" t="s">
        <v>188</v>
      </c>
      <c r="E48" s="1" t="s">
        <v>16</v>
      </c>
      <c r="F48" s="1" t="s">
        <v>25</v>
      </c>
      <c r="G48" s="1" t="s">
        <v>44</v>
      </c>
      <c r="H48" s="1" t="s">
        <v>75</v>
      </c>
      <c r="I48">
        <v>6</v>
      </c>
      <c r="J48">
        <v>45060.66</v>
      </c>
      <c r="K48">
        <v>0.2</v>
      </c>
      <c r="L48">
        <v>9813.7199999999993</v>
      </c>
      <c r="M48" s="1" t="s">
        <v>55</v>
      </c>
    </row>
    <row r="49" spans="1:13" x14ac:dyDescent="0.3">
      <c r="A49" s="1" t="s">
        <v>189</v>
      </c>
      <c r="B49" s="2">
        <v>45931</v>
      </c>
      <c r="C49" s="1" t="s">
        <v>190</v>
      </c>
      <c r="D49" s="1" t="s">
        <v>191</v>
      </c>
      <c r="E49" s="1" t="s">
        <v>24</v>
      </c>
      <c r="F49" s="1" t="s">
        <v>25</v>
      </c>
      <c r="G49" s="1" t="s">
        <v>26</v>
      </c>
      <c r="H49" s="1" t="s">
        <v>49</v>
      </c>
      <c r="I49">
        <v>5</v>
      </c>
      <c r="J49">
        <v>12594.04</v>
      </c>
      <c r="K49">
        <v>0.1</v>
      </c>
      <c r="L49">
        <v>3017.75</v>
      </c>
      <c r="M49" s="1" t="s">
        <v>50</v>
      </c>
    </row>
    <row r="50" spans="1:13" x14ac:dyDescent="0.3">
      <c r="A50" s="1" t="s">
        <v>192</v>
      </c>
      <c r="B50" s="2">
        <v>45746</v>
      </c>
      <c r="C50" s="1" t="s">
        <v>193</v>
      </c>
      <c r="D50" s="1" t="s">
        <v>194</v>
      </c>
      <c r="E50" s="1" t="s">
        <v>37</v>
      </c>
      <c r="F50" s="1" t="s">
        <v>25</v>
      </c>
      <c r="G50" s="1" t="s">
        <v>18</v>
      </c>
      <c r="H50" s="1" t="s">
        <v>141</v>
      </c>
      <c r="I50">
        <v>6</v>
      </c>
      <c r="J50">
        <v>5720.94</v>
      </c>
      <c r="K50">
        <v>0.15</v>
      </c>
      <c r="L50">
        <v>1698.1</v>
      </c>
      <c r="M50" s="1" t="s">
        <v>50</v>
      </c>
    </row>
    <row r="51" spans="1:13" x14ac:dyDescent="0.3">
      <c r="A51" s="1" t="s">
        <v>195</v>
      </c>
      <c r="B51" s="2">
        <v>45973</v>
      </c>
      <c r="C51" s="1" t="s">
        <v>196</v>
      </c>
      <c r="D51" s="1" t="s">
        <v>197</v>
      </c>
      <c r="E51" s="1" t="s">
        <v>43</v>
      </c>
      <c r="F51" s="1" t="s">
        <v>17</v>
      </c>
      <c r="G51" s="1" t="s">
        <v>18</v>
      </c>
      <c r="H51" s="1" t="s">
        <v>19</v>
      </c>
      <c r="I51">
        <v>6</v>
      </c>
      <c r="J51">
        <v>12651</v>
      </c>
      <c r="K51">
        <v>0.2</v>
      </c>
      <c r="L51">
        <v>3047.52</v>
      </c>
      <c r="M51" s="1" t="s">
        <v>28</v>
      </c>
    </row>
    <row r="52" spans="1:13" x14ac:dyDescent="0.3">
      <c r="A52" s="1" t="s">
        <v>198</v>
      </c>
      <c r="B52" s="2">
        <v>45671</v>
      </c>
      <c r="C52" s="1" t="s">
        <v>199</v>
      </c>
      <c r="D52" s="1" t="s">
        <v>200</v>
      </c>
      <c r="E52" s="1" t="s">
        <v>43</v>
      </c>
      <c r="F52" s="1" t="s">
        <v>69</v>
      </c>
      <c r="G52" s="1" t="s">
        <v>18</v>
      </c>
      <c r="H52" s="1" t="s">
        <v>122</v>
      </c>
      <c r="I52">
        <v>5</v>
      </c>
      <c r="J52">
        <v>6712</v>
      </c>
      <c r="K52">
        <v>0</v>
      </c>
      <c r="L52">
        <v>1978.35</v>
      </c>
      <c r="M52" s="1" t="s">
        <v>20</v>
      </c>
    </row>
    <row r="53" spans="1:13" x14ac:dyDescent="0.3">
      <c r="A53" s="1" t="s">
        <v>201</v>
      </c>
      <c r="B53" s="2">
        <v>45899</v>
      </c>
      <c r="C53" s="1" t="s">
        <v>202</v>
      </c>
      <c r="D53" s="1" t="s">
        <v>203</v>
      </c>
      <c r="E53" s="1" t="s">
        <v>74</v>
      </c>
      <c r="F53" s="1" t="s">
        <v>25</v>
      </c>
      <c r="G53" s="1" t="s">
        <v>32</v>
      </c>
      <c r="H53" s="1" t="s">
        <v>54</v>
      </c>
      <c r="I53">
        <v>6</v>
      </c>
      <c r="J53">
        <v>59415.75</v>
      </c>
      <c r="K53">
        <v>0.05</v>
      </c>
      <c r="L53">
        <v>13768.72</v>
      </c>
      <c r="M53" s="1" t="s">
        <v>55</v>
      </c>
    </row>
    <row r="54" spans="1:13" x14ac:dyDescent="0.3">
      <c r="A54" s="1" t="s">
        <v>204</v>
      </c>
      <c r="B54" s="2">
        <v>45922</v>
      </c>
      <c r="C54" s="1" t="s">
        <v>205</v>
      </c>
      <c r="D54" s="1" t="s">
        <v>206</v>
      </c>
      <c r="E54" s="1" t="s">
        <v>43</v>
      </c>
      <c r="F54" s="1" t="s">
        <v>25</v>
      </c>
      <c r="G54" s="1" t="s">
        <v>44</v>
      </c>
      <c r="H54" s="1" t="s">
        <v>45</v>
      </c>
      <c r="I54">
        <v>4</v>
      </c>
      <c r="J54">
        <v>43353.14</v>
      </c>
      <c r="K54">
        <v>0.1</v>
      </c>
      <c r="L54">
        <v>9870.32</v>
      </c>
      <c r="M54" s="1" t="s">
        <v>20</v>
      </c>
    </row>
    <row r="55" spans="1:13" x14ac:dyDescent="0.3">
      <c r="A55" s="1" t="s">
        <v>207</v>
      </c>
      <c r="B55" s="2">
        <v>46003</v>
      </c>
      <c r="C55" s="1" t="s">
        <v>208</v>
      </c>
      <c r="D55" s="1" t="s">
        <v>209</v>
      </c>
      <c r="E55" s="1" t="s">
        <v>24</v>
      </c>
      <c r="F55" s="1" t="s">
        <v>69</v>
      </c>
      <c r="G55" s="1" t="s">
        <v>18</v>
      </c>
      <c r="H55" s="1" t="s">
        <v>122</v>
      </c>
      <c r="I55">
        <v>10</v>
      </c>
      <c r="J55">
        <v>10587.29</v>
      </c>
      <c r="K55">
        <v>0.2</v>
      </c>
      <c r="L55">
        <v>2884.54</v>
      </c>
      <c r="M55" s="1" t="s">
        <v>28</v>
      </c>
    </row>
    <row r="56" spans="1:13" x14ac:dyDescent="0.3">
      <c r="A56" s="1" t="s">
        <v>210</v>
      </c>
      <c r="B56" s="2">
        <v>45710</v>
      </c>
      <c r="C56" s="1" t="s">
        <v>211</v>
      </c>
      <c r="D56" s="1" t="s">
        <v>212</v>
      </c>
      <c r="E56" s="1" t="s">
        <v>37</v>
      </c>
      <c r="F56" s="1" t="s">
        <v>25</v>
      </c>
      <c r="G56" s="1" t="s">
        <v>26</v>
      </c>
      <c r="H56" s="1" t="s">
        <v>86</v>
      </c>
      <c r="I56">
        <v>7</v>
      </c>
      <c r="J56">
        <v>23949.78</v>
      </c>
      <c r="K56">
        <v>0.1</v>
      </c>
      <c r="L56">
        <v>6211.47</v>
      </c>
      <c r="M56" s="1" t="s">
        <v>20</v>
      </c>
    </row>
    <row r="57" spans="1:13" x14ac:dyDescent="0.3">
      <c r="A57" s="1" t="s">
        <v>213</v>
      </c>
      <c r="B57" s="2">
        <v>45997</v>
      </c>
      <c r="C57" s="1" t="s">
        <v>214</v>
      </c>
      <c r="D57" s="1" t="s">
        <v>215</v>
      </c>
      <c r="E57" s="1" t="s">
        <v>24</v>
      </c>
      <c r="F57" s="1" t="s">
        <v>69</v>
      </c>
      <c r="G57" s="1" t="s">
        <v>44</v>
      </c>
      <c r="H57" s="1" t="s">
        <v>155</v>
      </c>
      <c r="I57">
        <v>10</v>
      </c>
      <c r="J57">
        <v>68882.649999999994</v>
      </c>
      <c r="K57">
        <v>0.1</v>
      </c>
      <c r="L57">
        <v>13996.67</v>
      </c>
      <c r="M57" s="1" t="s">
        <v>20</v>
      </c>
    </row>
    <row r="58" spans="1:13" x14ac:dyDescent="0.3">
      <c r="A58" s="1" t="s">
        <v>216</v>
      </c>
      <c r="B58" s="2">
        <v>45749</v>
      </c>
      <c r="C58" s="1" t="s">
        <v>217</v>
      </c>
      <c r="D58" s="1" t="s">
        <v>218</v>
      </c>
      <c r="E58" s="1" t="s">
        <v>43</v>
      </c>
      <c r="F58" s="1" t="s">
        <v>69</v>
      </c>
      <c r="G58" s="1" t="s">
        <v>44</v>
      </c>
      <c r="H58" s="1" t="s">
        <v>90</v>
      </c>
      <c r="I58">
        <v>1</v>
      </c>
      <c r="J58">
        <v>8789.85</v>
      </c>
      <c r="K58">
        <v>0.05</v>
      </c>
      <c r="L58">
        <v>1349.45</v>
      </c>
      <c r="M58" s="1" t="s">
        <v>20</v>
      </c>
    </row>
    <row r="59" spans="1:13" x14ac:dyDescent="0.3">
      <c r="A59" s="1" t="s">
        <v>219</v>
      </c>
      <c r="B59" s="2">
        <v>45921</v>
      </c>
      <c r="C59" s="1" t="s">
        <v>220</v>
      </c>
      <c r="D59" s="1" t="s">
        <v>221</v>
      </c>
      <c r="E59" s="1" t="s">
        <v>37</v>
      </c>
      <c r="F59" s="1" t="s">
        <v>25</v>
      </c>
      <c r="G59" s="1" t="s">
        <v>18</v>
      </c>
      <c r="H59" s="1" t="s">
        <v>145</v>
      </c>
      <c r="I59">
        <v>7</v>
      </c>
      <c r="J59">
        <v>13127.47</v>
      </c>
      <c r="K59">
        <v>0.05</v>
      </c>
      <c r="L59">
        <v>3532.48</v>
      </c>
      <c r="M59" s="1" t="s">
        <v>50</v>
      </c>
    </row>
    <row r="60" spans="1:13" x14ac:dyDescent="0.3">
      <c r="A60" s="1" t="s">
        <v>222</v>
      </c>
      <c r="B60" s="2">
        <v>45692</v>
      </c>
      <c r="C60" s="1" t="s">
        <v>223</v>
      </c>
      <c r="D60" s="1" t="s">
        <v>224</v>
      </c>
      <c r="E60" s="1" t="s">
        <v>74</v>
      </c>
      <c r="F60" s="1" t="s">
        <v>25</v>
      </c>
      <c r="G60" s="1" t="s">
        <v>18</v>
      </c>
      <c r="H60" s="1" t="s">
        <v>97</v>
      </c>
      <c r="I60">
        <v>2</v>
      </c>
      <c r="J60">
        <v>3091.99</v>
      </c>
      <c r="K60">
        <v>0.1</v>
      </c>
      <c r="L60">
        <v>933.04</v>
      </c>
      <c r="M60" s="1" t="s">
        <v>50</v>
      </c>
    </row>
    <row r="61" spans="1:13" x14ac:dyDescent="0.3">
      <c r="A61" s="1" t="s">
        <v>225</v>
      </c>
      <c r="B61" s="2">
        <v>45863</v>
      </c>
      <c r="C61" s="1" t="s">
        <v>226</v>
      </c>
      <c r="D61" s="1" t="s">
        <v>227</v>
      </c>
      <c r="E61" s="1" t="s">
        <v>43</v>
      </c>
      <c r="F61" s="1" t="s">
        <v>25</v>
      </c>
      <c r="G61" s="1" t="s">
        <v>26</v>
      </c>
      <c r="H61" s="1" t="s">
        <v>86</v>
      </c>
      <c r="I61">
        <v>6</v>
      </c>
      <c r="J61">
        <v>20581.78</v>
      </c>
      <c r="K61">
        <v>0.05</v>
      </c>
      <c r="L61">
        <v>4279.8100000000004</v>
      </c>
      <c r="M61" s="1" t="s">
        <v>28</v>
      </c>
    </row>
    <row r="62" spans="1:13" x14ac:dyDescent="0.3">
      <c r="A62" s="1" t="s">
        <v>228</v>
      </c>
      <c r="B62" s="2">
        <v>45738</v>
      </c>
      <c r="C62" s="1" t="s">
        <v>229</v>
      </c>
      <c r="D62" s="1" t="s">
        <v>230</v>
      </c>
      <c r="E62" s="1" t="s">
        <v>37</v>
      </c>
      <c r="F62" s="1" t="s">
        <v>25</v>
      </c>
      <c r="G62" s="1" t="s">
        <v>26</v>
      </c>
      <c r="H62" s="1" t="s">
        <v>231</v>
      </c>
      <c r="I62">
        <v>6</v>
      </c>
      <c r="J62">
        <v>17375.93</v>
      </c>
      <c r="K62">
        <v>0</v>
      </c>
      <c r="L62">
        <v>4377.1000000000004</v>
      </c>
      <c r="M62" s="1" t="s">
        <v>28</v>
      </c>
    </row>
    <row r="63" spans="1:13" x14ac:dyDescent="0.3">
      <c r="A63" s="1" t="s">
        <v>232</v>
      </c>
      <c r="B63" s="2">
        <v>45707</v>
      </c>
      <c r="C63" s="1" t="s">
        <v>233</v>
      </c>
      <c r="D63" s="1" t="s">
        <v>234</v>
      </c>
      <c r="E63" s="1" t="s">
        <v>43</v>
      </c>
      <c r="F63" s="1" t="s">
        <v>25</v>
      </c>
      <c r="G63" s="1" t="s">
        <v>26</v>
      </c>
      <c r="H63" s="1" t="s">
        <v>231</v>
      </c>
      <c r="I63">
        <v>3</v>
      </c>
      <c r="J63">
        <v>9356.76</v>
      </c>
      <c r="K63">
        <v>0.1</v>
      </c>
      <c r="L63">
        <v>2182.9299999999998</v>
      </c>
      <c r="M63" s="1" t="s">
        <v>50</v>
      </c>
    </row>
    <row r="64" spans="1:13" x14ac:dyDescent="0.3">
      <c r="A64" s="1" t="s">
        <v>235</v>
      </c>
      <c r="B64" s="2">
        <v>46017</v>
      </c>
      <c r="C64" s="1" t="s">
        <v>236</v>
      </c>
      <c r="D64" s="1" t="s">
        <v>237</v>
      </c>
      <c r="E64" s="1" t="s">
        <v>43</v>
      </c>
      <c r="F64" s="1" t="s">
        <v>69</v>
      </c>
      <c r="G64" s="1" t="s">
        <v>26</v>
      </c>
      <c r="H64" s="1" t="s">
        <v>27</v>
      </c>
      <c r="I64">
        <v>7</v>
      </c>
      <c r="J64">
        <v>22740.61</v>
      </c>
      <c r="K64">
        <v>0</v>
      </c>
      <c r="L64">
        <v>5826.82</v>
      </c>
      <c r="M64" s="1" t="s">
        <v>39</v>
      </c>
    </row>
    <row r="65" spans="1:13" x14ac:dyDescent="0.3">
      <c r="A65" s="1" t="s">
        <v>238</v>
      </c>
      <c r="B65" s="2">
        <v>45659</v>
      </c>
      <c r="C65" s="1" t="s">
        <v>239</v>
      </c>
      <c r="D65" s="1" t="s">
        <v>240</v>
      </c>
      <c r="E65" s="1" t="s">
        <v>24</v>
      </c>
      <c r="F65" s="1" t="s">
        <v>25</v>
      </c>
      <c r="G65" s="1" t="s">
        <v>32</v>
      </c>
      <c r="H65" s="1" t="s">
        <v>33</v>
      </c>
      <c r="I65">
        <v>7</v>
      </c>
      <c r="J65">
        <v>115203.61</v>
      </c>
      <c r="K65">
        <v>0.1</v>
      </c>
      <c r="L65">
        <v>27244.639999999999</v>
      </c>
      <c r="M65" s="1" t="s">
        <v>20</v>
      </c>
    </row>
    <row r="66" spans="1:13" x14ac:dyDescent="0.3">
      <c r="A66" s="1" t="s">
        <v>241</v>
      </c>
      <c r="B66" s="2">
        <v>45711</v>
      </c>
      <c r="C66" s="1" t="s">
        <v>242</v>
      </c>
      <c r="D66" s="1" t="s">
        <v>243</v>
      </c>
      <c r="E66" s="1" t="s">
        <v>74</v>
      </c>
      <c r="F66" s="1" t="s">
        <v>25</v>
      </c>
      <c r="G66" s="1" t="s">
        <v>26</v>
      </c>
      <c r="H66" s="1" t="s">
        <v>244</v>
      </c>
      <c r="I66">
        <v>4</v>
      </c>
      <c r="J66">
        <v>17015.05</v>
      </c>
      <c r="K66">
        <v>0.1</v>
      </c>
      <c r="L66">
        <v>4835.7299999999996</v>
      </c>
      <c r="M66" s="1" t="s">
        <v>55</v>
      </c>
    </row>
    <row r="67" spans="1:13" x14ac:dyDescent="0.3">
      <c r="A67" s="1" t="s">
        <v>245</v>
      </c>
      <c r="B67" s="2">
        <v>45763</v>
      </c>
      <c r="C67" s="1" t="s">
        <v>246</v>
      </c>
      <c r="D67" s="1" t="s">
        <v>247</v>
      </c>
      <c r="E67" s="1" t="s">
        <v>74</v>
      </c>
      <c r="F67" s="1" t="s">
        <v>17</v>
      </c>
      <c r="G67" s="1" t="s">
        <v>44</v>
      </c>
      <c r="H67" s="1" t="s">
        <v>155</v>
      </c>
      <c r="I67">
        <v>6</v>
      </c>
      <c r="J67">
        <v>40430.33</v>
      </c>
      <c r="K67">
        <v>0</v>
      </c>
      <c r="L67">
        <v>5731.6</v>
      </c>
      <c r="M67" s="1" t="s">
        <v>28</v>
      </c>
    </row>
    <row r="68" spans="1:13" x14ac:dyDescent="0.3">
      <c r="A68" s="1" t="s">
        <v>248</v>
      </c>
      <c r="B68" s="2">
        <v>45917</v>
      </c>
      <c r="C68" s="1" t="s">
        <v>249</v>
      </c>
      <c r="D68" s="1" t="s">
        <v>250</v>
      </c>
      <c r="E68" s="1" t="s">
        <v>24</v>
      </c>
      <c r="F68" s="1" t="s">
        <v>25</v>
      </c>
      <c r="G68" s="1" t="s">
        <v>18</v>
      </c>
      <c r="H68" s="1" t="s">
        <v>141</v>
      </c>
      <c r="I68">
        <v>9</v>
      </c>
      <c r="J68">
        <v>13734.03</v>
      </c>
      <c r="K68">
        <v>0.2</v>
      </c>
      <c r="L68">
        <v>3542.97</v>
      </c>
      <c r="M68" s="1" t="s">
        <v>39</v>
      </c>
    </row>
    <row r="69" spans="1:13" x14ac:dyDescent="0.3">
      <c r="A69" s="1" t="s">
        <v>251</v>
      </c>
      <c r="B69" s="2">
        <v>45967</v>
      </c>
      <c r="C69" s="1" t="s">
        <v>252</v>
      </c>
      <c r="D69" s="1" t="s">
        <v>253</v>
      </c>
      <c r="E69" s="1" t="s">
        <v>74</v>
      </c>
      <c r="F69" s="1" t="s">
        <v>17</v>
      </c>
      <c r="G69" s="1" t="s">
        <v>26</v>
      </c>
      <c r="H69" s="1" t="s">
        <v>231</v>
      </c>
      <c r="I69">
        <v>4</v>
      </c>
      <c r="J69">
        <v>7767.15</v>
      </c>
      <c r="K69">
        <v>0.2</v>
      </c>
      <c r="L69">
        <v>1643.81</v>
      </c>
      <c r="M69" s="1" t="s">
        <v>20</v>
      </c>
    </row>
    <row r="70" spans="1:13" x14ac:dyDescent="0.3">
      <c r="A70" s="1" t="s">
        <v>254</v>
      </c>
      <c r="B70" s="2">
        <v>45848</v>
      </c>
      <c r="C70" s="1" t="s">
        <v>255</v>
      </c>
      <c r="D70" s="1" t="s">
        <v>256</v>
      </c>
      <c r="E70" s="1" t="s">
        <v>37</v>
      </c>
      <c r="F70" s="1" t="s">
        <v>69</v>
      </c>
      <c r="G70" s="1" t="s">
        <v>18</v>
      </c>
      <c r="H70" s="1" t="s">
        <v>97</v>
      </c>
      <c r="I70">
        <v>7</v>
      </c>
      <c r="J70">
        <v>10768.96</v>
      </c>
      <c r="K70">
        <v>0</v>
      </c>
      <c r="L70">
        <v>2910.83</v>
      </c>
      <c r="M70" s="1" t="s">
        <v>28</v>
      </c>
    </row>
    <row r="71" spans="1:13" x14ac:dyDescent="0.3">
      <c r="A71" s="1" t="s">
        <v>257</v>
      </c>
      <c r="B71" s="2">
        <v>45875</v>
      </c>
      <c r="C71" s="1" t="s">
        <v>258</v>
      </c>
      <c r="D71" s="1" t="s">
        <v>259</v>
      </c>
      <c r="E71" s="1" t="s">
        <v>43</v>
      </c>
      <c r="F71" s="1" t="s">
        <v>17</v>
      </c>
      <c r="G71" s="1" t="s">
        <v>44</v>
      </c>
      <c r="H71" s="1" t="s">
        <v>155</v>
      </c>
      <c r="I71">
        <v>9</v>
      </c>
      <c r="J71">
        <v>86581.32</v>
      </c>
      <c r="K71">
        <v>0.1</v>
      </c>
      <c r="L71">
        <v>13971.87</v>
      </c>
      <c r="M71" s="1" t="s">
        <v>50</v>
      </c>
    </row>
    <row r="72" spans="1:13" x14ac:dyDescent="0.3">
      <c r="A72" s="1" t="s">
        <v>260</v>
      </c>
      <c r="B72" s="2">
        <v>45701</v>
      </c>
      <c r="C72" s="1" t="s">
        <v>261</v>
      </c>
      <c r="D72" s="1" t="s">
        <v>262</v>
      </c>
      <c r="E72" s="1" t="s">
        <v>24</v>
      </c>
      <c r="F72" s="1" t="s">
        <v>17</v>
      </c>
      <c r="G72" s="1" t="s">
        <v>32</v>
      </c>
      <c r="H72" s="1" t="s">
        <v>59</v>
      </c>
      <c r="I72">
        <v>5</v>
      </c>
      <c r="J72">
        <v>42321</v>
      </c>
      <c r="K72">
        <v>0.1</v>
      </c>
      <c r="L72">
        <v>9336.4699999999993</v>
      </c>
      <c r="M72" s="1" t="s">
        <v>28</v>
      </c>
    </row>
    <row r="73" spans="1:13" x14ac:dyDescent="0.3">
      <c r="A73" s="1" t="s">
        <v>263</v>
      </c>
      <c r="B73" s="2">
        <v>45819</v>
      </c>
      <c r="C73" s="1" t="s">
        <v>264</v>
      </c>
      <c r="D73" s="1" t="s">
        <v>265</v>
      </c>
      <c r="E73" s="1" t="s">
        <v>16</v>
      </c>
      <c r="F73" s="1" t="s">
        <v>25</v>
      </c>
      <c r="G73" s="1" t="s">
        <v>32</v>
      </c>
      <c r="H73" s="1" t="s">
        <v>38</v>
      </c>
      <c r="I73">
        <v>4</v>
      </c>
      <c r="J73">
        <v>55412.65</v>
      </c>
      <c r="K73">
        <v>0</v>
      </c>
      <c r="L73">
        <v>12971.14</v>
      </c>
      <c r="M73" s="1" t="s">
        <v>28</v>
      </c>
    </row>
    <row r="74" spans="1:13" x14ac:dyDescent="0.3">
      <c r="A74" s="1" t="s">
        <v>266</v>
      </c>
      <c r="B74" s="2">
        <v>45859</v>
      </c>
      <c r="C74" s="1" t="s">
        <v>267</v>
      </c>
      <c r="D74" s="1" t="s">
        <v>268</v>
      </c>
      <c r="E74" s="1" t="s">
        <v>37</v>
      </c>
      <c r="F74" s="1" t="s">
        <v>25</v>
      </c>
      <c r="G74" s="1" t="s">
        <v>44</v>
      </c>
      <c r="H74" s="1" t="s">
        <v>75</v>
      </c>
      <c r="I74">
        <v>5</v>
      </c>
      <c r="J74">
        <v>56890.06</v>
      </c>
      <c r="K74">
        <v>0.1</v>
      </c>
      <c r="L74">
        <v>7726.6</v>
      </c>
      <c r="M74" s="1" t="s">
        <v>39</v>
      </c>
    </row>
    <row r="75" spans="1:13" x14ac:dyDescent="0.3">
      <c r="A75" s="1" t="s">
        <v>269</v>
      </c>
      <c r="B75" s="2">
        <v>45927</v>
      </c>
      <c r="C75" s="1" t="s">
        <v>270</v>
      </c>
      <c r="D75" s="1" t="s">
        <v>271</v>
      </c>
      <c r="E75" s="1" t="s">
        <v>74</v>
      </c>
      <c r="F75" s="1" t="s">
        <v>25</v>
      </c>
      <c r="G75" s="1" t="s">
        <v>32</v>
      </c>
      <c r="H75" s="1" t="s">
        <v>33</v>
      </c>
      <c r="I75">
        <v>9</v>
      </c>
      <c r="J75">
        <v>159523.72</v>
      </c>
      <c r="K75">
        <v>0.05</v>
      </c>
      <c r="L75">
        <v>29954.83</v>
      </c>
      <c r="M75" s="1" t="s">
        <v>50</v>
      </c>
    </row>
    <row r="76" spans="1:13" x14ac:dyDescent="0.3">
      <c r="A76" s="1" t="s">
        <v>272</v>
      </c>
      <c r="B76" s="2">
        <v>46008</v>
      </c>
      <c r="C76" s="1" t="s">
        <v>273</v>
      </c>
      <c r="D76" s="1" t="s">
        <v>274</v>
      </c>
      <c r="E76" s="1" t="s">
        <v>74</v>
      </c>
      <c r="F76" s="1" t="s">
        <v>25</v>
      </c>
      <c r="G76" s="1" t="s">
        <v>44</v>
      </c>
      <c r="H76" s="1" t="s">
        <v>75</v>
      </c>
      <c r="I76">
        <v>7</v>
      </c>
      <c r="J76">
        <v>48695.46</v>
      </c>
      <c r="K76">
        <v>0.05</v>
      </c>
      <c r="L76">
        <v>9523.49</v>
      </c>
      <c r="M76" s="1" t="s">
        <v>20</v>
      </c>
    </row>
    <row r="77" spans="1:13" x14ac:dyDescent="0.3">
      <c r="A77" s="1" t="s">
        <v>275</v>
      </c>
      <c r="B77" s="2">
        <v>45961</v>
      </c>
      <c r="C77" s="1" t="s">
        <v>276</v>
      </c>
      <c r="D77" s="1" t="s">
        <v>277</v>
      </c>
      <c r="E77" s="1" t="s">
        <v>74</v>
      </c>
      <c r="F77" s="1" t="s">
        <v>25</v>
      </c>
      <c r="G77" s="1" t="s">
        <v>44</v>
      </c>
      <c r="H77" s="1" t="s">
        <v>45</v>
      </c>
      <c r="I77">
        <v>3</v>
      </c>
      <c r="J77">
        <v>23540.53</v>
      </c>
      <c r="K77">
        <v>0.1</v>
      </c>
      <c r="L77">
        <v>5008.34</v>
      </c>
      <c r="M77" s="1" t="s">
        <v>50</v>
      </c>
    </row>
    <row r="78" spans="1:13" x14ac:dyDescent="0.3">
      <c r="A78" s="1" t="s">
        <v>278</v>
      </c>
      <c r="B78" s="2">
        <v>45928</v>
      </c>
      <c r="C78" s="1" t="s">
        <v>279</v>
      </c>
      <c r="D78" s="1" t="s">
        <v>280</v>
      </c>
      <c r="E78" s="1" t="s">
        <v>74</v>
      </c>
      <c r="F78" s="1" t="s">
        <v>25</v>
      </c>
      <c r="G78" s="1" t="s">
        <v>44</v>
      </c>
      <c r="H78" s="1" t="s">
        <v>155</v>
      </c>
      <c r="I78">
        <v>10</v>
      </c>
      <c r="J78">
        <v>111095.48</v>
      </c>
      <c r="K78">
        <v>0.05</v>
      </c>
      <c r="L78">
        <v>21318.65</v>
      </c>
      <c r="M78" s="1" t="s">
        <v>55</v>
      </c>
    </row>
    <row r="79" spans="1:13" x14ac:dyDescent="0.3">
      <c r="A79" s="1" t="s">
        <v>281</v>
      </c>
      <c r="B79" s="2">
        <v>45872</v>
      </c>
      <c r="C79" s="1" t="s">
        <v>282</v>
      </c>
      <c r="D79" s="1" t="s">
        <v>283</v>
      </c>
      <c r="E79" s="1" t="s">
        <v>74</v>
      </c>
      <c r="F79" s="1" t="s">
        <v>25</v>
      </c>
      <c r="G79" s="1" t="s">
        <v>26</v>
      </c>
      <c r="H79" s="1" t="s">
        <v>244</v>
      </c>
      <c r="I79">
        <v>4</v>
      </c>
      <c r="J79">
        <v>11204.33</v>
      </c>
      <c r="K79">
        <v>0.05</v>
      </c>
      <c r="L79">
        <v>2964.77</v>
      </c>
      <c r="M79" s="1" t="s">
        <v>55</v>
      </c>
    </row>
    <row r="80" spans="1:13" x14ac:dyDescent="0.3">
      <c r="A80" s="1" t="s">
        <v>284</v>
      </c>
      <c r="B80" s="2">
        <v>45909</v>
      </c>
      <c r="C80" s="1" t="s">
        <v>285</v>
      </c>
      <c r="D80" s="1" t="s">
        <v>286</v>
      </c>
      <c r="E80" s="1" t="s">
        <v>43</v>
      </c>
      <c r="F80" s="1" t="s">
        <v>25</v>
      </c>
      <c r="G80" s="1" t="s">
        <v>32</v>
      </c>
      <c r="H80" s="1" t="s">
        <v>59</v>
      </c>
      <c r="I80">
        <v>4</v>
      </c>
      <c r="J80">
        <v>37769.550000000003</v>
      </c>
      <c r="K80">
        <v>0.15</v>
      </c>
      <c r="L80">
        <v>9482.75</v>
      </c>
      <c r="M80" s="1" t="s">
        <v>50</v>
      </c>
    </row>
    <row r="81" spans="1:13" x14ac:dyDescent="0.3">
      <c r="A81" s="1" t="s">
        <v>287</v>
      </c>
      <c r="B81" s="2">
        <v>45847</v>
      </c>
      <c r="C81" s="1" t="s">
        <v>288</v>
      </c>
      <c r="D81" s="1" t="s">
        <v>289</v>
      </c>
      <c r="E81" s="1" t="s">
        <v>24</v>
      </c>
      <c r="F81" s="1" t="s">
        <v>17</v>
      </c>
      <c r="G81" s="1" t="s">
        <v>26</v>
      </c>
      <c r="H81" s="1" t="s">
        <v>27</v>
      </c>
      <c r="I81">
        <v>9</v>
      </c>
      <c r="J81">
        <v>15964.62</v>
      </c>
      <c r="K81">
        <v>0.15</v>
      </c>
      <c r="L81">
        <v>4698.12</v>
      </c>
      <c r="M81" s="1" t="s">
        <v>20</v>
      </c>
    </row>
    <row r="82" spans="1:13" x14ac:dyDescent="0.3">
      <c r="A82" s="1" t="s">
        <v>290</v>
      </c>
      <c r="B82" s="2">
        <v>45953</v>
      </c>
      <c r="C82" s="1" t="s">
        <v>291</v>
      </c>
      <c r="D82" s="1" t="s">
        <v>292</v>
      </c>
      <c r="E82" s="1" t="s">
        <v>16</v>
      </c>
      <c r="F82" s="1" t="s">
        <v>17</v>
      </c>
      <c r="G82" s="1" t="s">
        <v>32</v>
      </c>
      <c r="H82" s="1" t="s">
        <v>33</v>
      </c>
      <c r="I82">
        <v>8</v>
      </c>
      <c r="J82">
        <v>96292.65</v>
      </c>
      <c r="K82">
        <v>0.15</v>
      </c>
      <c r="L82">
        <v>22718.85</v>
      </c>
      <c r="M82" s="1" t="s">
        <v>20</v>
      </c>
    </row>
    <row r="83" spans="1:13" x14ac:dyDescent="0.3">
      <c r="A83" s="1" t="s">
        <v>293</v>
      </c>
      <c r="B83" s="2">
        <v>45870</v>
      </c>
      <c r="C83" s="1" t="s">
        <v>294</v>
      </c>
      <c r="D83" s="1" t="s">
        <v>295</v>
      </c>
      <c r="E83" s="1" t="s">
        <v>37</v>
      </c>
      <c r="F83" s="1" t="s">
        <v>25</v>
      </c>
      <c r="G83" s="1" t="s">
        <v>44</v>
      </c>
      <c r="H83" s="1" t="s">
        <v>90</v>
      </c>
      <c r="I83">
        <v>5</v>
      </c>
      <c r="J83">
        <v>55037.79</v>
      </c>
      <c r="K83">
        <v>0.1</v>
      </c>
      <c r="L83">
        <v>10898.74</v>
      </c>
      <c r="M83" s="1" t="s">
        <v>28</v>
      </c>
    </row>
    <row r="84" spans="1:13" x14ac:dyDescent="0.3">
      <c r="A84" s="1" t="s">
        <v>296</v>
      </c>
      <c r="B84" s="2">
        <v>45865</v>
      </c>
      <c r="C84" s="1" t="s">
        <v>297</v>
      </c>
      <c r="D84" s="1" t="s">
        <v>298</v>
      </c>
      <c r="E84" s="1" t="s">
        <v>37</v>
      </c>
      <c r="F84" s="1" t="s">
        <v>25</v>
      </c>
      <c r="G84" s="1" t="s">
        <v>32</v>
      </c>
      <c r="H84" s="1" t="s">
        <v>54</v>
      </c>
      <c r="I84">
        <v>8</v>
      </c>
      <c r="J84">
        <v>59025.54</v>
      </c>
      <c r="K84">
        <v>0.1</v>
      </c>
      <c r="L84">
        <v>12322.14</v>
      </c>
      <c r="M84" s="1" t="s">
        <v>55</v>
      </c>
    </row>
    <row r="85" spans="1:13" x14ac:dyDescent="0.3">
      <c r="A85" s="1" t="s">
        <v>299</v>
      </c>
      <c r="B85" s="2">
        <v>45894</v>
      </c>
      <c r="C85" s="1" t="s">
        <v>300</v>
      </c>
      <c r="D85" s="1" t="s">
        <v>301</v>
      </c>
      <c r="E85" s="1" t="s">
        <v>37</v>
      </c>
      <c r="F85" s="1" t="s">
        <v>17</v>
      </c>
      <c r="G85" s="1" t="s">
        <v>26</v>
      </c>
      <c r="H85" s="1" t="s">
        <v>86</v>
      </c>
      <c r="I85">
        <v>3</v>
      </c>
      <c r="J85">
        <v>6951.45</v>
      </c>
      <c r="K85">
        <v>0</v>
      </c>
      <c r="L85">
        <v>1849.3</v>
      </c>
      <c r="M85" s="1" t="s">
        <v>20</v>
      </c>
    </row>
    <row r="86" spans="1:13" x14ac:dyDescent="0.3">
      <c r="A86" s="1" t="s">
        <v>302</v>
      </c>
      <c r="B86" s="2">
        <v>45995</v>
      </c>
      <c r="C86" s="1" t="s">
        <v>303</v>
      </c>
      <c r="D86" s="1" t="s">
        <v>304</v>
      </c>
      <c r="E86" s="1" t="s">
        <v>24</v>
      </c>
      <c r="F86" s="1" t="s">
        <v>25</v>
      </c>
      <c r="G86" s="1" t="s">
        <v>32</v>
      </c>
      <c r="H86" s="1" t="s">
        <v>38</v>
      </c>
      <c r="I86">
        <v>9</v>
      </c>
      <c r="J86">
        <v>111553.17</v>
      </c>
      <c r="K86">
        <v>0.05</v>
      </c>
      <c r="L86">
        <v>20318.14</v>
      </c>
      <c r="M86" s="1" t="s">
        <v>50</v>
      </c>
    </row>
    <row r="87" spans="1:13" x14ac:dyDescent="0.3">
      <c r="A87" s="1" t="s">
        <v>305</v>
      </c>
      <c r="B87" s="2">
        <v>45710</v>
      </c>
      <c r="C87" s="1" t="s">
        <v>306</v>
      </c>
      <c r="D87" s="1" t="s">
        <v>307</v>
      </c>
      <c r="E87" s="1" t="s">
        <v>43</v>
      </c>
      <c r="F87" s="1" t="s">
        <v>25</v>
      </c>
      <c r="G87" s="1" t="s">
        <v>44</v>
      </c>
      <c r="H87" s="1" t="s">
        <v>90</v>
      </c>
      <c r="I87">
        <v>10</v>
      </c>
      <c r="J87">
        <v>121721.46</v>
      </c>
      <c r="K87">
        <v>0.05</v>
      </c>
      <c r="L87">
        <v>27752.13</v>
      </c>
      <c r="M87" s="1" t="s">
        <v>50</v>
      </c>
    </row>
    <row r="88" spans="1:13" x14ac:dyDescent="0.3">
      <c r="A88" s="1" t="s">
        <v>308</v>
      </c>
      <c r="B88" s="2">
        <v>45937</v>
      </c>
      <c r="C88" s="1" t="s">
        <v>309</v>
      </c>
      <c r="D88" s="1" t="s">
        <v>310</v>
      </c>
      <c r="E88" s="1" t="s">
        <v>24</v>
      </c>
      <c r="F88" s="1" t="s">
        <v>25</v>
      </c>
      <c r="G88" s="1" t="s">
        <v>44</v>
      </c>
      <c r="H88" s="1" t="s">
        <v>75</v>
      </c>
      <c r="I88">
        <v>8</v>
      </c>
      <c r="J88">
        <v>87288.4</v>
      </c>
      <c r="K88">
        <v>0</v>
      </c>
      <c r="L88">
        <v>14629.47</v>
      </c>
      <c r="M88" s="1" t="s">
        <v>50</v>
      </c>
    </row>
    <row r="89" spans="1:13" x14ac:dyDescent="0.3">
      <c r="A89" s="1" t="s">
        <v>311</v>
      </c>
      <c r="B89" s="2">
        <v>45874</v>
      </c>
      <c r="C89" s="1" t="s">
        <v>312</v>
      </c>
      <c r="D89" s="1" t="s">
        <v>313</v>
      </c>
      <c r="E89" s="1" t="s">
        <v>16</v>
      </c>
      <c r="F89" s="1" t="s">
        <v>25</v>
      </c>
      <c r="G89" s="1" t="s">
        <v>18</v>
      </c>
      <c r="H89" s="1" t="s">
        <v>97</v>
      </c>
      <c r="I89">
        <v>5</v>
      </c>
      <c r="J89">
        <v>9930.4599999999991</v>
      </c>
      <c r="K89">
        <v>0.1</v>
      </c>
      <c r="L89">
        <v>2296.63</v>
      </c>
      <c r="M89" s="1" t="s">
        <v>39</v>
      </c>
    </row>
    <row r="90" spans="1:13" x14ac:dyDescent="0.3">
      <c r="A90" s="1" t="s">
        <v>314</v>
      </c>
      <c r="B90" s="2">
        <v>45909</v>
      </c>
      <c r="C90" s="1" t="s">
        <v>150</v>
      </c>
      <c r="D90" s="1" t="s">
        <v>151</v>
      </c>
      <c r="E90" s="1" t="s">
        <v>43</v>
      </c>
      <c r="F90" s="1" t="s">
        <v>17</v>
      </c>
      <c r="G90" s="1" t="s">
        <v>44</v>
      </c>
      <c r="H90" s="1" t="s">
        <v>90</v>
      </c>
      <c r="I90">
        <v>5</v>
      </c>
      <c r="J90">
        <v>55790.54</v>
      </c>
      <c r="K90">
        <v>0.1</v>
      </c>
      <c r="L90">
        <v>11950.33</v>
      </c>
      <c r="M90" s="1" t="s">
        <v>50</v>
      </c>
    </row>
    <row r="91" spans="1:13" x14ac:dyDescent="0.3">
      <c r="A91" s="1" t="s">
        <v>315</v>
      </c>
      <c r="B91" s="2">
        <v>45845</v>
      </c>
      <c r="C91" s="1" t="s">
        <v>64</v>
      </c>
      <c r="D91" s="1" t="s">
        <v>65</v>
      </c>
      <c r="E91" s="1" t="s">
        <v>37</v>
      </c>
      <c r="F91" s="1" t="s">
        <v>25</v>
      </c>
      <c r="G91" s="1" t="s">
        <v>44</v>
      </c>
      <c r="H91" s="1" t="s">
        <v>75</v>
      </c>
      <c r="I91">
        <v>9</v>
      </c>
      <c r="J91">
        <v>127171.68</v>
      </c>
      <c r="K91">
        <v>0</v>
      </c>
      <c r="L91">
        <v>18628.3</v>
      </c>
      <c r="M91" s="1" t="s">
        <v>28</v>
      </c>
    </row>
    <row r="92" spans="1:13" x14ac:dyDescent="0.3">
      <c r="A92" s="1" t="s">
        <v>316</v>
      </c>
      <c r="B92" s="2">
        <v>45698</v>
      </c>
      <c r="C92" s="1" t="s">
        <v>317</v>
      </c>
      <c r="D92" s="1" t="s">
        <v>318</v>
      </c>
      <c r="E92" s="1" t="s">
        <v>37</v>
      </c>
      <c r="F92" s="1" t="s">
        <v>25</v>
      </c>
      <c r="G92" s="1" t="s">
        <v>44</v>
      </c>
      <c r="H92" s="1" t="s">
        <v>70</v>
      </c>
      <c r="I92">
        <v>7</v>
      </c>
      <c r="J92">
        <v>78609.490000000005</v>
      </c>
      <c r="K92">
        <v>0.15</v>
      </c>
      <c r="L92">
        <v>14481.73</v>
      </c>
      <c r="M92" s="1" t="s">
        <v>50</v>
      </c>
    </row>
    <row r="93" spans="1:13" x14ac:dyDescent="0.3">
      <c r="A93" s="1" t="s">
        <v>319</v>
      </c>
      <c r="B93" s="2">
        <v>45814</v>
      </c>
      <c r="C93" s="1" t="s">
        <v>320</v>
      </c>
      <c r="D93" s="1" t="s">
        <v>321</v>
      </c>
      <c r="E93" s="1" t="s">
        <v>16</v>
      </c>
      <c r="F93" s="1" t="s">
        <v>69</v>
      </c>
      <c r="G93" s="1" t="s">
        <v>18</v>
      </c>
      <c r="H93" s="1" t="s">
        <v>19</v>
      </c>
      <c r="I93">
        <v>9</v>
      </c>
      <c r="J93">
        <v>20178.16</v>
      </c>
      <c r="K93">
        <v>0.05</v>
      </c>
      <c r="L93">
        <v>5572.31</v>
      </c>
      <c r="M93" s="1" t="s">
        <v>28</v>
      </c>
    </row>
    <row r="94" spans="1:13" x14ac:dyDescent="0.3">
      <c r="A94" s="1" t="s">
        <v>322</v>
      </c>
      <c r="B94" s="2">
        <v>45672</v>
      </c>
      <c r="C94" s="1" t="s">
        <v>323</v>
      </c>
      <c r="D94" s="1" t="s">
        <v>324</v>
      </c>
      <c r="E94" s="1" t="s">
        <v>37</v>
      </c>
      <c r="F94" s="1" t="s">
        <v>17</v>
      </c>
      <c r="G94" s="1" t="s">
        <v>32</v>
      </c>
      <c r="H94" s="1" t="s">
        <v>59</v>
      </c>
      <c r="I94">
        <v>10</v>
      </c>
      <c r="J94">
        <v>152152.6</v>
      </c>
      <c r="K94">
        <v>0.1</v>
      </c>
      <c r="L94">
        <v>37160.959999999999</v>
      </c>
      <c r="M94" s="1" t="s">
        <v>20</v>
      </c>
    </row>
    <row r="95" spans="1:13" x14ac:dyDescent="0.3">
      <c r="A95" s="1" t="s">
        <v>325</v>
      </c>
      <c r="B95" s="2">
        <v>45958</v>
      </c>
      <c r="C95" s="1" t="s">
        <v>326</v>
      </c>
      <c r="D95" s="1" t="s">
        <v>327</v>
      </c>
      <c r="E95" s="1" t="s">
        <v>16</v>
      </c>
      <c r="F95" s="1" t="s">
        <v>69</v>
      </c>
      <c r="G95" s="1" t="s">
        <v>44</v>
      </c>
      <c r="H95" s="1" t="s">
        <v>155</v>
      </c>
      <c r="I95">
        <v>4</v>
      </c>
      <c r="J95">
        <v>17933.919999999998</v>
      </c>
      <c r="K95">
        <v>0.15</v>
      </c>
      <c r="L95">
        <v>2394.7399999999998</v>
      </c>
      <c r="M95" s="1" t="s">
        <v>50</v>
      </c>
    </row>
    <row r="96" spans="1:13" x14ac:dyDescent="0.3">
      <c r="A96" s="1" t="s">
        <v>328</v>
      </c>
      <c r="B96" s="2">
        <v>45722</v>
      </c>
      <c r="C96" s="1" t="s">
        <v>329</v>
      </c>
      <c r="D96" s="1" t="s">
        <v>330</v>
      </c>
      <c r="E96" s="1" t="s">
        <v>37</v>
      </c>
      <c r="F96" s="1" t="s">
        <v>69</v>
      </c>
      <c r="G96" s="1" t="s">
        <v>32</v>
      </c>
      <c r="H96" s="1" t="s">
        <v>79</v>
      </c>
      <c r="I96">
        <v>7</v>
      </c>
      <c r="J96">
        <v>89992.14</v>
      </c>
      <c r="K96">
        <v>0.1</v>
      </c>
      <c r="L96">
        <v>16420.990000000002</v>
      </c>
      <c r="M96" s="1" t="s">
        <v>55</v>
      </c>
    </row>
    <row r="97" spans="1:13" x14ac:dyDescent="0.3">
      <c r="A97" s="1" t="s">
        <v>331</v>
      </c>
      <c r="B97" s="2">
        <v>46002</v>
      </c>
      <c r="C97" s="1" t="s">
        <v>332</v>
      </c>
      <c r="D97" s="1" t="s">
        <v>333</v>
      </c>
      <c r="E97" s="1" t="s">
        <v>43</v>
      </c>
      <c r="F97" s="1" t="s">
        <v>25</v>
      </c>
      <c r="G97" s="1" t="s">
        <v>44</v>
      </c>
      <c r="H97" s="1" t="s">
        <v>155</v>
      </c>
      <c r="I97">
        <v>5</v>
      </c>
      <c r="J97">
        <v>57619.5</v>
      </c>
      <c r="K97">
        <v>0</v>
      </c>
      <c r="L97">
        <v>8518.31</v>
      </c>
      <c r="M97" s="1" t="s">
        <v>28</v>
      </c>
    </row>
    <row r="98" spans="1:13" x14ac:dyDescent="0.3">
      <c r="A98" s="1" t="s">
        <v>334</v>
      </c>
      <c r="B98" s="2">
        <v>45984</v>
      </c>
      <c r="C98" s="1" t="s">
        <v>335</v>
      </c>
      <c r="D98" s="1" t="s">
        <v>336</v>
      </c>
      <c r="E98" s="1" t="s">
        <v>24</v>
      </c>
      <c r="F98" s="1" t="s">
        <v>25</v>
      </c>
      <c r="G98" s="1" t="s">
        <v>32</v>
      </c>
      <c r="H98" s="1" t="s">
        <v>38</v>
      </c>
      <c r="I98">
        <v>7</v>
      </c>
      <c r="J98">
        <v>125619.95</v>
      </c>
      <c r="K98">
        <v>0.1</v>
      </c>
      <c r="L98">
        <v>30442.799999999999</v>
      </c>
      <c r="M98" s="1" t="s">
        <v>28</v>
      </c>
    </row>
    <row r="99" spans="1:13" x14ac:dyDescent="0.3">
      <c r="A99" s="1" t="s">
        <v>337</v>
      </c>
      <c r="B99" s="2">
        <v>45666</v>
      </c>
      <c r="C99" s="1" t="s">
        <v>338</v>
      </c>
      <c r="D99" s="1" t="s">
        <v>339</v>
      </c>
      <c r="E99" s="1" t="s">
        <v>43</v>
      </c>
      <c r="F99" s="1" t="s">
        <v>25</v>
      </c>
      <c r="G99" s="1" t="s">
        <v>32</v>
      </c>
      <c r="H99" s="1" t="s">
        <v>38</v>
      </c>
      <c r="I99">
        <v>2</v>
      </c>
      <c r="J99">
        <v>32260.080000000002</v>
      </c>
      <c r="K99">
        <v>0</v>
      </c>
      <c r="L99">
        <v>6523.34</v>
      </c>
      <c r="M99" s="1" t="s">
        <v>50</v>
      </c>
    </row>
    <row r="100" spans="1:13" x14ac:dyDescent="0.3">
      <c r="A100" s="1" t="s">
        <v>340</v>
      </c>
      <c r="B100" s="2">
        <v>46001</v>
      </c>
      <c r="C100" s="1" t="s">
        <v>181</v>
      </c>
      <c r="D100" s="1" t="s">
        <v>182</v>
      </c>
      <c r="E100" s="1" t="s">
        <v>74</v>
      </c>
      <c r="F100" s="1" t="s">
        <v>69</v>
      </c>
      <c r="G100" s="1" t="s">
        <v>32</v>
      </c>
      <c r="H100" s="1" t="s">
        <v>59</v>
      </c>
      <c r="I100">
        <v>4</v>
      </c>
      <c r="J100">
        <v>53790.36</v>
      </c>
      <c r="K100">
        <v>0.1</v>
      </c>
      <c r="L100">
        <v>9937.51</v>
      </c>
      <c r="M100" s="1" t="s">
        <v>55</v>
      </c>
    </row>
    <row r="101" spans="1:13" x14ac:dyDescent="0.3">
      <c r="A101" s="1" t="s">
        <v>341</v>
      </c>
      <c r="B101" s="2">
        <v>45786</v>
      </c>
      <c r="C101" s="1" t="s">
        <v>342</v>
      </c>
      <c r="D101" s="1" t="s">
        <v>343</v>
      </c>
      <c r="E101" s="1" t="s">
        <v>37</v>
      </c>
      <c r="F101" s="1" t="s">
        <v>25</v>
      </c>
      <c r="G101" s="1" t="s">
        <v>18</v>
      </c>
      <c r="H101" s="1" t="s">
        <v>97</v>
      </c>
      <c r="I101">
        <v>9</v>
      </c>
      <c r="J101">
        <v>20422.47</v>
      </c>
      <c r="K101">
        <v>0.15</v>
      </c>
      <c r="L101">
        <v>5557.46</v>
      </c>
      <c r="M101" s="1" t="s">
        <v>50</v>
      </c>
    </row>
    <row r="102" spans="1:13" x14ac:dyDescent="0.3">
      <c r="A102" s="1" t="s">
        <v>344</v>
      </c>
      <c r="B102" s="2">
        <v>45793</v>
      </c>
      <c r="C102" s="1" t="s">
        <v>300</v>
      </c>
      <c r="D102" s="1" t="s">
        <v>301</v>
      </c>
      <c r="E102" s="1" t="s">
        <v>16</v>
      </c>
      <c r="F102" s="1" t="s">
        <v>25</v>
      </c>
      <c r="G102" s="1" t="s">
        <v>44</v>
      </c>
      <c r="H102" s="1" t="s">
        <v>70</v>
      </c>
      <c r="I102">
        <v>7</v>
      </c>
      <c r="J102">
        <v>63413.83</v>
      </c>
      <c r="K102">
        <v>0.15</v>
      </c>
      <c r="L102">
        <v>9413.6299999999992</v>
      </c>
      <c r="M102" s="1" t="s">
        <v>55</v>
      </c>
    </row>
    <row r="103" spans="1:13" x14ac:dyDescent="0.3">
      <c r="A103" s="1" t="s">
        <v>345</v>
      </c>
      <c r="B103" s="2">
        <v>45720</v>
      </c>
      <c r="C103" s="1" t="s">
        <v>346</v>
      </c>
      <c r="D103" s="1" t="s">
        <v>347</v>
      </c>
      <c r="E103" s="1" t="s">
        <v>74</v>
      </c>
      <c r="F103" s="1" t="s">
        <v>25</v>
      </c>
      <c r="G103" s="1" t="s">
        <v>18</v>
      </c>
      <c r="H103" s="1" t="s">
        <v>145</v>
      </c>
      <c r="I103">
        <v>6</v>
      </c>
      <c r="J103">
        <v>10958.49</v>
      </c>
      <c r="K103">
        <v>0.05</v>
      </c>
      <c r="L103">
        <v>3551.29</v>
      </c>
      <c r="M103" s="1" t="s">
        <v>28</v>
      </c>
    </row>
    <row r="104" spans="1:13" x14ac:dyDescent="0.3">
      <c r="A104" s="1" t="s">
        <v>348</v>
      </c>
      <c r="B104" s="2">
        <v>45796</v>
      </c>
      <c r="C104" s="1" t="s">
        <v>349</v>
      </c>
      <c r="D104" s="1" t="s">
        <v>350</v>
      </c>
      <c r="E104" s="1" t="s">
        <v>74</v>
      </c>
      <c r="F104" s="1" t="s">
        <v>69</v>
      </c>
      <c r="G104" s="1" t="s">
        <v>18</v>
      </c>
      <c r="H104" s="1" t="s">
        <v>19</v>
      </c>
      <c r="I104">
        <v>4</v>
      </c>
      <c r="J104">
        <v>8765.1299999999992</v>
      </c>
      <c r="K104">
        <v>0.1</v>
      </c>
      <c r="L104">
        <v>2439.31</v>
      </c>
      <c r="M104" s="1" t="s">
        <v>28</v>
      </c>
    </row>
    <row r="105" spans="1:13" x14ac:dyDescent="0.3">
      <c r="A105" s="1" t="s">
        <v>351</v>
      </c>
      <c r="B105" s="2">
        <v>45738</v>
      </c>
      <c r="C105" s="1" t="s">
        <v>352</v>
      </c>
      <c r="D105" s="1" t="s">
        <v>353</v>
      </c>
      <c r="E105" s="1" t="s">
        <v>16</v>
      </c>
      <c r="F105" s="1" t="s">
        <v>69</v>
      </c>
      <c r="G105" s="1" t="s">
        <v>32</v>
      </c>
      <c r="H105" s="1" t="s">
        <v>79</v>
      </c>
      <c r="I105">
        <v>6</v>
      </c>
      <c r="J105">
        <v>48460.959999999999</v>
      </c>
      <c r="K105">
        <v>0.05</v>
      </c>
      <c r="L105">
        <v>8874.9</v>
      </c>
      <c r="M105" s="1" t="s">
        <v>55</v>
      </c>
    </row>
    <row r="106" spans="1:13" x14ac:dyDescent="0.3">
      <c r="A106" s="1" t="s">
        <v>354</v>
      </c>
      <c r="B106" s="2">
        <v>45820</v>
      </c>
      <c r="C106" s="1" t="s">
        <v>355</v>
      </c>
      <c r="D106" s="1" t="s">
        <v>356</v>
      </c>
      <c r="E106" s="1" t="s">
        <v>16</v>
      </c>
      <c r="F106" s="1" t="s">
        <v>25</v>
      </c>
      <c r="G106" s="1" t="s">
        <v>26</v>
      </c>
      <c r="H106" s="1" t="s">
        <v>49</v>
      </c>
      <c r="I106">
        <v>10</v>
      </c>
      <c r="J106">
        <v>25298.49</v>
      </c>
      <c r="K106">
        <v>0.05</v>
      </c>
      <c r="L106">
        <v>5684.52</v>
      </c>
      <c r="M106" s="1" t="s">
        <v>39</v>
      </c>
    </row>
    <row r="107" spans="1:13" x14ac:dyDescent="0.3">
      <c r="A107" s="1" t="s">
        <v>357</v>
      </c>
      <c r="B107" s="2">
        <v>45946</v>
      </c>
      <c r="C107" s="1" t="s">
        <v>306</v>
      </c>
      <c r="D107" s="1" t="s">
        <v>307</v>
      </c>
      <c r="E107" s="1" t="s">
        <v>16</v>
      </c>
      <c r="F107" s="1" t="s">
        <v>69</v>
      </c>
      <c r="G107" s="1" t="s">
        <v>32</v>
      </c>
      <c r="H107" s="1" t="s">
        <v>79</v>
      </c>
      <c r="I107">
        <v>9</v>
      </c>
      <c r="J107">
        <v>130733.97</v>
      </c>
      <c r="K107">
        <v>0</v>
      </c>
      <c r="L107">
        <v>23043.87</v>
      </c>
      <c r="M107" s="1" t="s">
        <v>39</v>
      </c>
    </row>
    <row r="108" spans="1:13" x14ac:dyDescent="0.3">
      <c r="A108" s="1" t="s">
        <v>358</v>
      </c>
      <c r="B108" s="2">
        <v>45918</v>
      </c>
      <c r="C108" s="1" t="s">
        <v>359</v>
      </c>
      <c r="D108" s="1" t="s">
        <v>360</v>
      </c>
      <c r="E108" s="1" t="s">
        <v>43</v>
      </c>
      <c r="F108" s="1" t="s">
        <v>25</v>
      </c>
      <c r="G108" s="1" t="s">
        <v>32</v>
      </c>
      <c r="H108" s="1" t="s">
        <v>38</v>
      </c>
      <c r="I108">
        <v>8</v>
      </c>
      <c r="J108">
        <v>116861.31</v>
      </c>
      <c r="K108">
        <v>0.05</v>
      </c>
      <c r="L108">
        <v>30175.18</v>
      </c>
      <c r="M108" s="1" t="s">
        <v>55</v>
      </c>
    </row>
    <row r="109" spans="1:13" x14ac:dyDescent="0.3">
      <c r="A109" s="1" t="s">
        <v>361</v>
      </c>
      <c r="B109" s="2">
        <v>45888</v>
      </c>
      <c r="C109" s="1" t="s">
        <v>166</v>
      </c>
      <c r="D109" s="1" t="s">
        <v>167</v>
      </c>
      <c r="E109" s="1" t="s">
        <v>43</v>
      </c>
      <c r="F109" s="1" t="s">
        <v>17</v>
      </c>
      <c r="G109" s="1" t="s">
        <v>26</v>
      </c>
      <c r="H109" s="1" t="s">
        <v>49</v>
      </c>
      <c r="I109">
        <v>5</v>
      </c>
      <c r="J109">
        <v>18303.45</v>
      </c>
      <c r="K109">
        <v>0.05</v>
      </c>
      <c r="L109">
        <v>4695.4399999999996</v>
      </c>
      <c r="M109" s="1" t="s">
        <v>55</v>
      </c>
    </row>
    <row r="110" spans="1:13" x14ac:dyDescent="0.3">
      <c r="A110" s="1" t="s">
        <v>362</v>
      </c>
      <c r="B110" s="2">
        <v>45698</v>
      </c>
      <c r="C110" s="1" t="s">
        <v>363</v>
      </c>
      <c r="D110" s="1" t="s">
        <v>364</v>
      </c>
      <c r="E110" s="1" t="s">
        <v>16</v>
      </c>
      <c r="F110" s="1" t="s">
        <v>25</v>
      </c>
      <c r="G110" s="1" t="s">
        <v>26</v>
      </c>
      <c r="H110" s="1" t="s">
        <v>86</v>
      </c>
      <c r="I110">
        <v>10</v>
      </c>
      <c r="J110">
        <v>17376.45</v>
      </c>
      <c r="K110">
        <v>0.15</v>
      </c>
      <c r="L110">
        <v>4422.49</v>
      </c>
      <c r="M110" s="1" t="s">
        <v>39</v>
      </c>
    </row>
    <row r="111" spans="1:13" x14ac:dyDescent="0.3">
      <c r="A111" s="1" t="s">
        <v>365</v>
      </c>
      <c r="B111" s="2">
        <v>45685</v>
      </c>
      <c r="C111" s="1" t="s">
        <v>366</v>
      </c>
      <c r="D111" s="1" t="s">
        <v>367</v>
      </c>
      <c r="E111" s="1" t="s">
        <v>24</v>
      </c>
      <c r="F111" s="1" t="s">
        <v>25</v>
      </c>
      <c r="G111" s="1" t="s">
        <v>32</v>
      </c>
      <c r="H111" s="1" t="s">
        <v>38</v>
      </c>
      <c r="I111">
        <v>1</v>
      </c>
      <c r="J111">
        <v>15466.57</v>
      </c>
      <c r="K111">
        <v>0.05</v>
      </c>
      <c r="L111">
        <v>3939.21</v>
      </c>
      <c r="M111" s="1" t="s">
        <v>55</v>
      </c>
    </row>
    <row r="112" spans="1:13" x14ac:dyDescent="0.3">
      <c r="A112" s="1" t="s">
        <v>368</v>
      </c>
      <c r="B112" s="2">
        <v>45792</v>
      </c>
      <c r="C112" s="1" t="s">
        <v>369</v>
      </c>
      <c r="D112" s="1" t="s">
        <v>370</v>
      </c>
      <c r="E112" s="1" t="s">
        <v>37</v>
      </c>
      <c r="F112" s="1" t="s">
        <v>25</v>
      </c>
      <c r="G112" s="1" t="s">
        <v>32</v>
      </c>
      <c r="H112" s="1" t="s">
        <v>33</v>
      </c>
      <c r="I112">
        <v>7</v>
      </c>
      <c r="J112">
        <v>107352.32000000001</v>
      </c>
      <c r="K112">
        <v>0</v>
      </c>
      <c r="L112">
        <v>23751.73</v>
      </c>
      <c r="M112" s="1" t="s">
        <v>20</v>
      </c>
    </row>
    <row r="113" spans="1:13" x14ac:dyDescent="0.3">
      <c r="A113" s="1" t="s">
        <v>371</v>
      </c>
      <c r="B113" s="2">
        <v>45858</v>
      </c>
      <c r="C113" s="1" t="s">
        <v>342</v>
      </c>
      <c r="D113" s="1" t="s">
        <v>343</v>
      </c>
      <c r="E113" s="1" t="s">
        <v>74</v>
      </c>
      <c r="F113" s="1" t="s">
        <v>25</v>
      </c>
      <c r="G113" s="1" t="s">
        <v>18</v>
      </c>
      <c r="H113" s="1" t="s">
        <v>19</v>
      </c>
      <c r="I113">
        <v>4</v>
      </c>
      <c r="J113">
        <v>6700.47</v>
      </c>
      <c r="K113">
        <v>0.15</v>
      </c>
      <c r="L113">
        <v>2046.4</v>
      </c>
      <c r="M113" s="1" t="s">
        <v>28</v>
      </c>
    </row>
    <row r="114" spans="1:13" x14ac:dyDescent="0.3">
      <c r="A114" s="1" t="s">
        <v>372</v>
      </c>
      <c r="B114" s="2">
        <v>45985</v>
      </c>
      <c r="C114" s="1" t="s">
        <v>373</v>
      </c>
      <c r="D114" s="1" t="s">
        <v>374</v>
      </c>
      <c r="E114" s="1" t="s">
        <v>74</v>
      </c>
      <c r="F114" s="1" t="s">
        <v>25</v>
      </c>
      <c r="G114" s="1" t="s">
        <v>32</v>
      </c>
      <c r="H114" s="1" t="s">
        <v>38</v>
      </c>
      <c r="I114">
        <v>9</v>
      </c>
      <c r="J114">
        <v>118900.52</v>
      </c>
      <c r="K114">
        <v>0.15</v>
      </c>
      <c r="L114">
        <v>26847.51</v>
      </c>
      <c r="M114" s="1" t="s">
        <v>50</v>
      </c>
    </row>
    <row r="115" spans="1:13" x14ac:dyDescent="0.3">
      <c r="A115" s="1" t="s">
        <v>375</v>
      </c>
      <c r="B115" s="2">
        <v>45925</v>
      </c>
      <c r="C115" s="1" t="s">
        <v>376</v>
      </c>
      <c r="D115" s="1" t="s">
        <v>377</v>
      </c>
      <c r="E115" s="1" t="s">
        <v>16</v>
      </c>
      <c r="F115" s="1" t="s">
        <v>25</v>
      </c>
      <c r="G115" s="1" t="s">
        <v>32</v>
      </c>
      <c r="H115" s="1" t="s">
        <v>54</v>
      </c>
      <c r="I115">
        <v>3</v>
      </c>
      <c r="J115">
        <v>23400.41</v>
      </c>
      <c r="K115">
        <v>0.15</v>
      </c>
      <c r="L115">
        <v>5901.83</v>
      </c>
      <c r="M115" s="1" t="s">
        <v>55</v>
      </c>
    </row>
    <row r="116" spans="1:13" x14ac:dyDescent="0.3">
      <c r="A116" s="1" t="s">
        <v>378</v>
      </c>
      <c r="B116" s="2">
        <v>45690</v>
      </c>
      <c r="C116" s="1" t="s">
        <v>379</v>
      </c>
      <c r="D116" s="1" t="s">
        <v>380</v>
      </c>
      <c r="E116" s="1" t="s">
        <v>43</v>
      </c>
      <c r="F116" s="1" t="s">
        <v>25</v>
      </c>
      <c r="G116" s="1" t="s">
        <v>44</v>
      </c>
      <c r="H116" s="1" t="s">
        <v>70</v>
      </c>
      <c r="I116">
        <v>8</v>
      </c>
      <c r="J116">
        <v>54079.11</v>
      </c>
      <c r="K116">
        <v>0.15</v>
      </c>
      <c r="L116">
        <v>10153.86</v>
      </c>
      <c r="M116" s="1" t="s">
        <v>50</v>
      </c>
    </row>
    <row r="117" spans="1:13" x14ac:dyDescent="0.3">
      <c r="A117" s="1" t="s">
        <v>381</v>
      </c>
      <c r="B117" s="2">
        <v>45705</v>
      </c>
      <c r="C117" s="1" t="s">
        <v>382</v>
      </c>
      <c r="D117" s="1" t="s">
        <v>383</v>
      </c>
      <c r="E117" s="1" t="s">
        <v>16</v>
      </c>
      <c r="F117" s="1" t="s">
        <v>25</v>
      </c>
      <c r="G117" s="1" t="s">
        <v>44</v>
      </c>
      <c r="H117" s="1" t="s">
        <v>155</v>
      </c>
      <c r="I117">
        <v>2</v>
      </c>
      <c r="J117">
        <v>13174.78</v>
      </c>
      <c r="K117">
        <v>0.2</v>
      </c>
      <c r="L117">
        <v>2906.54</v>
      </c>
      <c r="M117" s="1" t="s">
        <v>28</v>
      </c>
    </row>
    <row r="118" spans="1:13" x14ac:dyDescent="0.3">
      <c r="A118" s="1" t="s">
        <v>384</v>
      </c>
      <c r="B118" s="2">
        <v>45719</v>
      </c>
      <c r="C118" s="1" t="s">
        <v>184</v>
      </c>
      <c r="D118" s="1" t="s">
        <v>185</v>
      </c>
      <c r="E118" s="1" t="s">
        <v>74</v>
      </c>
      <c r="F118" s="1" t="s">
        <v>25</v>
      </c>
      <c r="G118" s="1" t="s">
        <v>26</v>
      </c>
      <c r="H118" s="1" t="s">
        <v>49</v>
      </c>
      <c r="I118">
        <v>5</v>
      </c>
      <c r="J118">
        <v>13468.4</v>
      </c>
      <c r="K118">
        <v>0.15</v>
      </c>
      <c r="L118">
        <v>2806.09</v>
      </c>
      <c r="M118" s="1" t="s">
        <v>20</v>
      </c>
    </row>
    <row r="119" spans="1:13" x14ac:dyDescent="0.3">
      <c r="A119" s="1" t="s">
        <v>385</v>
      </c>
      <c r="B119" s="2">
        <v>45873</v>
      </c>
      <c r="C119" s="1" t="s">
        <v>386</v>
      </c>
      <c r="D119" s="1" t="s">
        <v>387</v>
      </c>
      <c r="E119" s="1" t="s">
        <v>74</v>
      </c>
      <c r="F119" s="1" t="s">
        <v>25</v>
      </c>
      <c r="G119" s="1" t="s">
        <v>26</v>
      </c>
      <c r="H119" s="1" t="s">
        <v>49</v>
      </c>
      <c r="I119">
        <v>5</v>
      </c>
      <c r="J119">
        <v>18362.669999999998</v>
      </c>
      <c r="K119">
        <v>0.1</v>
      </c>
      <c r="L119">
        <v>5503.44</v>
      </c>
      <c r="M119" s="1" t="s">
        <v>39</v>
      </c>
    </row>
    <row r="120" spans="1:13" x14ac:dyDescent="0.3">
      <c r="A120" s="1" t="s">
        <v>388</v>
      </c>
      <c r="B120" s="2">
        <v>45950</v>
      </c>
      <c r="C120" s="1" t="s">
        <v>389</v>
      </c>
      <c r="D120" s="1" t="s">
        <v>390</v>
      </c>
      <c r="E120" s="1" t="s">
        <v>24</v>
      </c>
      <c r="F120" s="1" t="s">
        <v>69</v>
      </c>
      <c r="G120" s="1" t="s">
        <v>44</v>
      </c>
      <c r="H120" s="1" t="s">
        <v>70</v>
      </c>
      <c r="I120">
        <v>4</v>
      </c>
      <c r="J120">
        <v>38588.35</v>
      </c>
      <c r="K120">
        <v>0.2</v>
      </c>
      <c r="L120">
        <v>5322.9</v>
      </c>
      <c r="M120" s="1" t="s">
        <v>50</v>
      </c>
    </row>
    <row r="121" spans="1:13" x14ac:dyDescent="0.3">
      <c r="A121" s="1" t="s">
        <v>391</v>
      </c>
      <c r="B121" s="2">
        <v>45756</v>
      </c>
      <c r="C121" s="1" t="s">
        <v>392</v>
      </c>
      <c r="D121" s="1" t="s">
        <v>393</v>
      </c>
      <c r="E121" s="1" t="s">
        <v>43</v>
      </c>
      <c r="F121" s="1" t="s">
        <v>69</v>
      </c>
      <c r="G121" s="1" t="s">
        <v>32</v>
      </c>
      <c r="H121" s="1" t="s">
        <v>59</v>
      </c>
      <c r="I121">
        <v>6</v>
      </c>
      <c r="J121">
        <v>95274.36</v>
      </c>
      <c r="K121">
        <v>0.1</v>
      </c>
      <c r="L121">
        <v>20685.66</v>
      </c>
      <c r="M121" s="1" t="s">
        <v>20</v>
      </c>
    </row>
    <row r="122" spans="1:13" x14ac:dyDescent="0.3">
      <c r="A122" s="1" t="s">
        <v>394</v>
      </c>
      <c r="B122" s="2">
        <v>45829</v>
      </c>
      <c r="C122" s="1" t="s">
        <v>395</v>
      </c>
      <c r="D122" s="1" t="s">
        <v>396</v>
      </c>
      <c r="E122" s="1" t="s">
        <v>37</v>
      </c>
      <c r="F122" s="1" t="s">
        <v>25</v>
      </c>
      <c r="G122" s="1" t="s">
        <v>18</v>
      </c>
      <c r="H122" s="1" t="s">
        <v>145</v>
      </c>
      <c r="I122">
        <v>10</v>
      </c>
      <c r="J122">
        <v>14298.12</v>
      </c>
      <c r="K122">
        <v>0</v>
      </c>
      <c r="L122">
        <v>3413.22</v>
      </c>
      <c r="M122" s="1" t="s">
        <v>50</v>
      </c>
    </row>
    <row r="123" spans="1:13" x14ac:dyDescent="0.3">
      <c r="A123" s="1" t="s">
        <v>397</v>
      </c>
      <c r="B123" s="2">
        <v>46017</v>
      </c>
      <c r="C123" s="1" t="s">
        <v>398</v>
      </c>
      <c r="D123" s="1" t="s">
        <v>399</v>
      </c>
      <c r="E123" s="1" t="s">
        <v>43</v>
      </c>
      <c r="F123" s="1" t="s">
        <v>69</v>
      </c>
      <c r="G123" s="1" t="s">
        <v>18</v>
      </c>
      <c r="H123" s="1" t="s">
        <v>97</v>
      </c>
      <c r="I123">
        <v>10</v>
      </c>
      <c r="J123">
        <v>18853.189999999999</v>
      </c>
      <c r="K123">
        <v>0.1</v>
      </c>
      <c r="L123">
        <v>5424.53</v>
      </c>
      <c r="M123" s="1" t="s">
        <v>50</v>
      </c>
    </row>
    <row r="124" spans="1:13" x14ac:dyDescent="0.3">
      <c r="A124" s="1" t="s">
        <v>400</v>
      </c>
      <c r="B124" s="2">
        <v>45871</v>
      </c>
      <c r="C124" s="1" t="s">
        <v>117</v>
      </c>
      <c r="D124" s="1" t="s">
        <v>118</v>
      </c>
      <c r="E124" s="1" t="s">
        <v>43</v>
      </c>
      <c r="F124" s="1" t="s">
        <v>25</v>
      </c>
      <c r="G124" s="1" t="s">
        <v>26</v>
      </c>
      <c r="H124" s="1" t="s">
        <v>231</v>
      </c>
      <c r="I124">
        <v>2</v>
      </c>
      <c r="J124">
        <v>5535.49</v>
      </c>
      <c r="K124">
        <v>0</v>
      </c>
      <c r="L124">
        <v>1484.43</v>
      </c>
      <c r="M124" s="1" t="s">
        <v>28</v>
      </c>
    </row>
    <row r="125" spans="1:13" x14ac:dyDescent="0.3">
      <c r="A125" s="1" t="s">
        <v>401</v>
      </c>
      <c r="B125" s="2">
        <v>45692</v>
      </c>
      <c r="C125" s="1" t="s">
        <v>402</v>
      </c>
      <c r="D125" s="1" t="s">
        <v>403</v>
      </c>
      <c r="E125" s="1" t="s">
        <v>37</v>
      </c>
      <c r="F125" s="1" t="s">
        <v>25</v>
      </c>
      <c r="G125" s="1" t="s">
        <v>44</v>
      </c>
      <c r="H125" s="1" t="s">
        <v>90</v>
      </c>
      <c r="I125">
        <v>4</v>
      </c>
      <c r="J125">
        <v>51131.55</v>
      </c>
      <c r="K125">
        <v>0.05</v>
      </c>
      <c r="L125">
        <v>8489.77</v>
      </c>
      <c r="M125" s="1" t="s">
        <v>28</v>
      </c>
    </row>
    <row r="126" spans="1:13" x14ac:dyDescent="0.3">
      <c r="A126" s="1" t="s">
        <v>404</v>
      </c>
      <c r="B126" s="2">
        <v>45884</v>
      </c>
      <c r="C126" s="1" t="s">
        <v>226</v>
      </c>
      <c r="D126" s="1" t="s">
        <v>227</v>
      </c>
      <c r="E126" s="1" t="s">
        <v>16</v>
      </c>
      <c r="F126" s="1" t="s">
        <v>69</v>
      </c>
      <c r="G126" s="1" t="s">
        <v>44</v>
      </c>
      <c r="H126" s="1" t="s">
        <v>45</v>
      </c>
      <c r="I126">
        <v>1</v>
      </c>
      <c r="J126">
        <v>10627.22</v>
      </c>
      <c r="K126">
        <v>0.15</v>
      </c>
      <c r="L126">
        <v>2088.23</v>
      </c>
      <c r="M126" s="1" t="s">
        <v>28</v>
      </c>
    </row>
    <row r="127" spans="1:13" x14ac:dyDescent="0.3">
      <c r="A127" s="1" t="s">
        <v>405</v>
      </c>
      <c r="B127" s="2">
        <v>45758</v>
      </c>
      <c r="C127" s="1" t="s">
        <v>406</v>
      </c>
      <c r="D127" s="1" t="s">
        <v>407</v>
      </c>
      <c r="E127" s="1" t="s">
        <v>37</v>
      </c>
      <c r="F127" s="1" t="s">
        <v>69</v>
      </c>
      <c r="G127" s="1" t="s">
        <v>26</v>
      </c>
      <c r="H127" s="1" t="s">
        <v>231</v>
      </c>
      <c r="I127">
        <v>2</v>
      </c>
      <c r="J127">
        <v>5743.04</v>
      </c>
      <c r="K127">
        <v>0.1</v>
      </c>
      <c r="L127">
        <v>1645.13</v>
      </c>
      <c r="M127" s="1" t="s">
        <v>55</v>
      </c>
    </row>
    <row r="128" spans="1:13" x14ac:dyDescent="0.3">
      <c r="A128" s="1" t="s">
        <v>408</v>
      </c>
      <c r="B128" s="2">
        <v>45788</v>
      </c>
      <c r="C128" s="1" t="s">
        <v>157</v>
      </c>
      <c r="D128" s="1" t="s">
        <v>158</v>
      </c>
      <c r="E128" s="1" t="s">
        <v>43</v>
      </c>
      <c r="F128" s="1" t="s">
        <v>25</v>
      </c>
      <c r="G128" s="1" t="s">
        <v>18</v>
      </c>
      <c r="H128" s="1" t="s">
        <v>19</v>
      </c>
      <c r="I128">
        <v>6</v>
      </c>
      <c r="J128">
        <v>7171.52</v>
      </c>
      <c r="K128">
        <v>0.2</v>
      </c>
      <c r="L128">
        <v>1859.02</v>
      </c>
      <c r="M128" s="1" t="s">
        <v>39</v>
      </c>
    </row>
    <row r="129" spans="1:13" x14ac:dyDescent="0.3">
      <c r="A129" s="1" t="s">
        <v>409</v>
      </c>
      <c r="B129" s="2">
        <v>45914</v>
      </c>
      <c r="C129" s="1" t="s">
        <v>410</v>
      </c>
      <c r="D129" s="1" t="s">
        <v>411</v>
      </c>
      <c r="E129" s="1" t="s">
        <v>24</v>
      </c>
      <c r="F129" s="1" t="s">
        <v>25</v>
      </c>
      <c r="G129" s="1" t="s">
        <v>44</v>
      </c>
      <c r="H129" s="1" t="s">
        <v>90</v>
      </c>
      <c r="I129">
        <v>7</v>
      </c>
      <c r="J129">
        <v>61198.25</v>
      </c>
      <c r="K129">
        <v>0.15</v>
      </c>
      <c r="L129">
        <v>10708.73</v>
      </c>
      <c r="M129" s="1" t="s">
        <v>28</v>
      </c>
    </row>
    <row r="130" spans="1:13" x14ac:dyDescent="0.3">
      <c r="A130" s="1" t="s">
        <v>412</v>
      </c>
      <c r="B130" s="2">
        <v>45662</v>
      </c>
      <c r="C130" s="1" t="s">
        <v>413</v>
      </c>
      <c r="D130" s="1" t="s">
        <v>414</v>
      </c>
      <c r="E130" s="1" t="s">
        <v>24</v>
      </c>
      <c r="F130" s="1" t="s">
        <v>25</v>
      </c>
      <c r="G130" s="1" t="s">
        <v>32</v>
      </c>
      <c r="H130" s="1" t="s">
        <v>38</v>
      </c>
      <c r="I130">
        <v>8</v>
      </c>
      <c r="J130">
        <v>74711.03</v>
      </c>
      <c r="K130">
        <v>0.2</v>
      </c>
      <c r="L130">
        <v>13255.54</v>
      </c>
      <c r="M130" s="1" t="s">
        <v>28</v>
      </c>
    </row>
    <row r="131" spans="1:13" x14ac:dyDescent="0.3">
      <c r="A131" s="1" t="s">
        <v>415</v>
      </c>
      <c r="B131" s="2">
        <v>45875</v>
      </c>
      <c r="C131" s="1" t="s">
        <v>416</v>
      </c>
      <c r="D131" s="1" t="s">
        <v>417</v>
      </c>
      <c r="E131" s="1" t="s">
        <v>16</v>
      </c>
      <c r="F131" s="1" t="s">
        <v>25</v>
      </c>
      <c r="G131" s="1" t="s">
        <v>44</v>
      </c>
      <c r="H131" s="1" t="s">
        <v>90</v>
      </c>
      <c r="I131">
        <v>8</v>
      </c>
      <c r="J131">
        <v>97624.7</v>
      </c>
      <c r="K131">
        <v>0.1</v>
      </c>
      <c r="L131">
        <v>16014.41</v>
      </c>
      <c r="M131" s="1" t="s">
        <v>39</v>
      </c>
    </row>
    <row r="132" spans="1:13" x14ac:dyDescent="0.3">
      <c r="A132" s="1" t="s">
        <v>418</v>
      </c>
      <c r="B132" s="2">
        <v>45912</v>
      </c>
      <c r="C132" s="1" t="s">
        <v>279</v>
      </c>
      <c r="D132" s="1" t="s">
        <v>280</v>
      </c>
      <c r="E132" s="1" t="s">
        <v>16</v>
      </c>
      <c r="F132" s="1" t="s">
        <v>69</v>
      </c>
      <c r="G132" s="1" t="s">
        <v>44</v>
      </c>
      <c r="H132" s="1" t="s">
        <v>45</v>
      </c>
      <c r="I132">
        <v>3</v>
      </c>
      <c r="J132">
        <v>19810.64</v>
      </c>
      <c r="K132">
        <v>0.15</v>
      </c>
      <c r="L132">
        <v>3711.22</v>
      </c>
      <c r="M132" s="1" t="s">
        <v>50</v>
      </c>
    </row>
    <row r="133" spans="1:13" x14ac:dyDescent="0.3">
      <c r="A133" s="1" t="s">
        <v>419</v>
      </c>
      <c r="B133" s="2">
        <v>46016</v>
      </c>
      <c r="C133" s="1" t="s">
        <v>420</v>
      </c>
      <c r="D133" s="1" t="s">
        <v>421</v>
      </c>
      <c r="E133" s="1" t="s">
        <v>74</v>
      </c>
      <c r="F133" s="1" t="s">
        <v>25</v>
      </c>
      <c r="G133" s="1" t="s">
        <v>32</v>
      </c>
      <c r="H133" s="1" t="s">
        <v>59</v>
      </c>
      <c r="I133">
        <v>9</v>
      </c>
      <c r="J133">
        <v>156326.03</v>
      </c>
      <c r="K133">
        <v>0.15</v>
      </c>
      <c r="L133">
        <v>39539.339999999997</v>
      </c>
      <c r="M133" s="1" t="s">
        <v>20</v>
      </c>
    </row>
    <row r="134" spans="1:13" x14ac:dyDescent="0.3">
      <c r="A134" s="1" t="s">
        <v>422</v>
      </c>
      <c r="B134" s="2">
        <v>45940</v>
      </c>
      <c r="C134" s="1" t="s">
        <v>294</v>
      </c>
      <c r="D134" s="1" t="s">
        <v>295</v>
      </c>
      <c r="E134" s="1" t="s">
        <v>16</v>
      </c>
      <c r="F134" s="1" t="s">
        <v>25</v>
      </c>
      <c r="G134" s="1" t="s">
        <v>18</v>
      </c>
      <c r="H134" s="1" t="s">
        <v>145</v>
      </c>
      <c r="I134">
        <v>6</v>
      </c>
      <c r="J134">
        <v>9038.59</v>
      </c>
      <c r="K134">
        <v>0.15</v>
      </c>
      <c r="L134">
        <v>2622.93</v>
      </c>
      <c r="M134" s="1" t="s">
        <v>20</v>
      </c>
    </row>
    <row r="135" spans="1:13" x14ac:dyDescent="0.3">
      <c r="A135" s="1" t="s">
        <v>423</v>
      </c>
      <c r="B135" s="2">
        <v>45864</v>
      </c>
      <c r="C135" s="1" t="s">
        <v>424</v>
      </c>
      <c r="D135" s="1" t="s">
        <v>425</v>
      </c>
      <c r="E135" s="1" t="s">
        <v>24</v>
      </c>
      <c r="F135" s="1" t="s">
        <v>25</v>
      </c>
      <c r="G135" s="1" t="s">
        <v>18</v>
      </c>
      <c r="H135" s="1" t="s">
        <v>145</v>
      </c>
      <c r="I135">
        <v>3</v>
      </c>
      <c r="J135">
        <v>3826.93</v>
      </c>
      <c r="K135">
        <v>0.1</v>
      </c>
      <c r="L135">
        <v>920.08</v>
      </c>
      <c r="M135" s="1" t="s">
        <v>55</v>
      </c>
    </row>
    <row r="136" spans="1:13" x14ac:dyDescent="0.3">
      <c r="A136" s="1" t="s">
        <v>426</v>
      </c>
      <c r="B136" s="2">
        <v>45672</v>
      </c>
      <c r="C136" s="1" t="s">
        <v>427</v>
      </c>
      <c r="D136" s="1" t="s">
        <v>428</v>
      </c>
      <c r="E136" s="1" t="s">
        <v>37</v>
      </c>
      <c r="F136" s="1" t="s">
        <v>25</v>
      </c>
      <c r="G136" s="1" t="s">
        <v>18</v>
      </c>
      <c r="H136" s="1" t="s">
        <v>122</v>
      </c>
      <c r="I136">
        <v>7</v>
      </c>
      <c r="J136">
        <v>18360.07</v>
      </c>
      <c r="K136">
        <v>0.05</v>
      </c>
      <c r="L136">
        <v>4970.0200000000004</v>
      </c>
      <c r="M136" s="1" t="s">
        <v>20</v>
      </c>
    </row>
    <row r="137" spans="1:13" x14ac:dyDescent="0.3">
      <c r="A137" s="1" t="s">
        <v>429</v>
      </c>
      <c r="B137" s="2">
        <v>46003</v>
      </c>
      <c r="C137" s="1" t="s">
        <v>150</v>
      </c>
      <c r="D137" s="1" t="s">
        <v>151</v>
      </c>
      <c r="E137" s="1" t="s">
        <v>37</v>
      </c>
      <c r="F137" s="1" t="s">
        <v>69</v>
      </c>
      <c r="G137" s="1" t="s">
        <v>32</v>
      </c>
      <c r="H137" s="1" t="s">
        <v>59</v>
      </c>
      <c r="I137">
        <v>8</v>
      </c>
      <c r="J137">
        <v>79516.75</v>
      </c>
      <c r="K137">
        <v>0.1</v>
      </c>
      <c r="L137">
        <v>17099.8</v>
      </c>
      <c r="M137" s="1" t="s">
        <v>55</v>
      </c>
    </row>
    <row r="138" spans="1:13" x14ac:dyDescent="0.3">
      <c r="A138" s="1" t="s">
        <v>430</v>
      </c>
      <c r="B138" s="2">
        <v>45699</v>
      </c>
      <c r="C138" s="1" t="s">
        <v>431</v>
      </c>
      <c r="D138" s="1" t="s">
        <v>432</v>
      </c>
      <c r="E138" s="1" t="s">
        <v>24</v>
      </c>
      <c r="F138" s="1" t="s">
        <v>25</v>
      </c>
      <c r="G138" s="1" t="s">
        <v>44</v>
      </c>
      <c r="H138" s="1" t="s">
        <v>70</v>
      </c>
      <c r="I138">
        <v>6</v>
      </c>
      <c r="J138">
        <v>80035.75</v>
      </c>
      <c r="K138">
        <v>0</v>
      </c>
      <c r="L138">
        <v>17074.16</v>
      </c>
      <c r="M138" s="1" t="s">
        <v>20</v>
      </c>
    </row>
    <row r="139" spans="1:13" x14ac:dyDescent="0.3">
      <c r="A139" s="1" t="s">
        <v>433</v>
      </c>
      <c r="B139" s="2">
        <v>45836</v>
      </c>
      <c r="C139" s="1" t="s">
        <v>434</v>
      </c>
      <c r="D139" s="1" t="s">
        <v>435</v>
      </c>
      <c r="E139" s="1" t="s">
        <v>43</v>
      </c>
      <c r="F139" s="1" t="s">
        <v>69</v>
      </c>
      <c r="G139" s="1" t="s">
        <v>32</v>
      </c>
      <c r="H139" s="1" t="s">
        <v>59</v>
      </c>
      <c r="I139">
        <v>6</v>
      </c>
      <c r="J139">
        <v>112020.58</v>
      </c>
      <c r="K139">
        <v>0.1</v>
      </c>
      <c r="L139">
        <v>20019.12</v>
      </c>
      <c r="M139" s="1" t="s">
        <v>50</v>
      </c>
    </row>
    <row r="140" spans="1:13" x14ac:dyDescent="0.3">
      <c r="A140" s="1" t="s">
        <v>436</v>
      </c>
      <c r="B140" s="2">
        <v>45720</v>
      </c>
      <c r="C140" s="1" t="s">
        <v>139</v>
      </c>
      <c r="D140" s="1" t="s">
        <v>140</v>
      </c>
      <c r="E140" s="1" t="s">
        <v>24</v>
      </c>
      <c r="F140" s="1" t="s">
        <v>25</v>
      </c>
      <c r="G140" s="1" t="s">
        <v>32</v>
      </c>
      <c r="H140" s="1" t="s">
        <v>54</v>
      </c>
      <c r="I140">
        <v>7</v>
      </c>
      <c r="J140">
        <v>86927.43</v>
      </c>
      <c r="K140">
        <v>0.15</v>
      </c>
      <c r="L140">
        <v>23407.96</v>
      </c>
      <c r="M140" s="1" t="s">
        <v>28</v>
      </c>
    </row>
    <row r="141" spans="1:13" x14ac:dyDescent="0.3">
      <c r="A141" s="1" t="s">
        <v>437</v>
      </c>
      <c r="B141" s="2">
        <v>46009</v>
      </c>
      <c r="C141" s="1" t="s">
        <v>438</v>
      </c>
      <c r="D141" s="1" t="s">
        <v>439</v>
      </c>
      <c r="E141" s="1" t="s">
        <v>16</v>
      </c>
      <c r="F141" s="1" t="s">
        <v>25</v>
      </c>
      <c r="G141" s="1" t="s">
        <v>32</v>
      </c>
      <c r="H141" s="1" t="s">
        <v>33</v>
      </c>
      <c r="I141">
        <v>8</v>
      </c>
      <c r="J141">
        <v>138764.57</v>
      </c>
      <c r="K141">
        <v>0.15</v>
      </c>
      <c r="L141">
        <v>32025.55</v>
      </c>
      <c r="M141" s="1" t="s">
        <v>55</v>
      </c>
    </row>
    <row r="142" spans="1:13" x14ac:dyDescent="0.3">
      <c r="A142" s="1" t="s">
        <v>440</v>
      </c>
      <c r="B142" s="2">
        <v>45888</v>
      </c>
      <c r="C142" s="1" t="s">
        <v>147</v>
      </c>
      <c r="D142" s="1" t="s">
        <v>148</v>
      </c>
      <c r="E142" s="1" t="s">
        <v>24</v>
      </c>
      <c r="F142" s="1" t="s">
        <v>69</v>
      </c>
      <c r="G142" s="1" t="s">
        <v>26</v>
      </c>
      <c r="H142" s="1" t="s">
        <v>86</v>
      </c>
      <c r="I142">
        <v>7</v>
      </c>
      <c r="J142">
        <v>22714.89</v>
      </c>
      <c r="K142">
        <v>0.2</v>
      </c>
      <c r="L142">
        <v>4635.1099999999997</v>
      </c>
      <c r="M142" s="1" t="s">
        <v>20</v>
      </c>
    </row>
    <row r="143" spans="1:13" x14ac:dyDescent="0.3">
      <c r="A143" s="1" t="s">
        <v>441</v>
      </c>
      <c r="B143" s="2">
        <v>45898</v>
      </c>
      <c r="C143" s="1" t="s">
        <v>363</v>
      </c>
      <c r="D143" s="1" t="s">
        <v>364</v>
      </c>
      <c r="E143" s="1" t="s">
        <v>43</v>
      </c>
      <c r="F143" s="1" t="s">
        <v>25</v>
      </c>
      <c r="G143" s="1" t="s">
        <v>32</v>
      </c>
      <c r="H143" s="1" t="s">
        <v>38</v>
      </c>
      <c r="I143">
        <v>5</v>
      </c>
      <c r="J143">
        <v>42274.58</v>
      </c>
      <c r="K143">
        <v>0.1</v>
      </c>
      <c r="L143">
        <v>10362.25</v>
      </c>
      <c r="M143" s="1" t="s">
        <v>28</v>
      </c>
    </row>
    <row r="144" spans="1:13" x14ac:dyDescent="0.3">
      <c r="A144" s="1" t="s">
        <v>442</v>
      </c>
      <c r="B144" s="2">
        <v>45709</v>
      </c>
      <c r="C144" s="1" t="s">
        <v>443</v>
      </c>
      <c r="D144" s="1" t="s">
        <v>444</v>
      </c>
      <c r="E144" s="1" t="s">
        <v>24</v>
      </c>
      <c r="F144" s="1" t="s">
        <v>69</v>
      </c>
      <c r="G144" s="1" t="s">
        <v>32</v>
      </c>
      <c r="H144" s="1" t="s">
        <v>33</v>
      </c>
      <c r="I144">
        <v>10</v>
      </c>
      <c r="J144">
        <v>108518.48</v>
      </c>
      <c r="K144">
        <v>0.15</v>
      </c>
      <c r="L144">
        <v>18558.080000000002</v>
      </c>
      <c r="M144" s="1" t="s">
        <v>50</v>
      </c>
    </row>
    <row r="145" spans="1:13" x14ac:dyDescent="0.3">
      <c r="A145" s="1" t="s">
        <v>445</v>
      </c>
      <c r="B145" s="2">
        <v>45753</v>
      </c>
      <c r="C145" s="1" t="s">
        <v>446</v>
      </c>
      <c r="D145" s="1" t="s">
        <v>447</v>
      </c>
      <c r="E145" s="1" t="s">
        <v>16</v>
      </c>
      <c r="F145" s="1" t="s">
        <v>17</v>
      </c>
      <c r="G145" s="1" t="s">
        <v>26</v>
      </c>
      <c r="H145" s="1" t="s">
        <v>49</v>
      </c>
      <c r="I145">
        <v>6</v>
      </c>
      <c r="J145">
        <v>10299.780000000001</v>
      </c>
      <c r="K145">
        <v>0.2</v>
      </c>
      <c r="L145">
        <v>2128.39</v>
      </c>
      <c r="M145" s="1" t="s">
        <v>55</v>
      </c>
    </row>
    <row r="146" spans="1:13" x14ac:dyDescent="0.3">
      <c r="A146" s="1" t="s">
        <v>448</v>
      </c>
      <c r="B146" s="2">
        <v>45879</v>
      </c>
      <c r="C146" s="1" t="s">
        <v>150</v>
      </c>
      <c r="D146" s="1" t="s">
        <v>151</v>
      </c>
      <c r="E146" s="1" t="s">
        <v>24</v>
      </c>
      <c r="F146" s="1" t="s">
        <v>25</v>
      </c>
      <c r="G146" s="1" t="s">
        <v>32</v>
      </c>
      <c r="H146" s="1" t="s">
        <v>33</v>
      </c>
      <c r="I146">
        <v>7</v>
      </c>
      <c r="J146">
        <v>110465.59</v>
      </c>
      <c r="K146">
        <v>0</v>
      </c>
      <c r="L146">
        <v>20137.91</v>
      </c>
      <c r="M146" s="1" t="s">
        <v>50</v>
      </c>
    </row>
    <row r="147" spans="1:13" x14ac:dyDescent="0.3">
      <c r="A147" s="1" t="s">
        <v>449</v>
      </c>
      <c r="B147" s="2">
        <v>45888</v>
      </c>
      <c r="C147" s="1" t="s">
        <v>175</v>
      </c>
      <c r="D147" s="1" t="s">
        <v>176</v>
      </c>
      <c r="E147" s="1" t="s">
        <v>37</v>
      </c>
      <c r="F147" s="1" t="s">
        <v>69</v>
      </c>
      <c r="G147" s="1" t="s">
        <v>18</v>
      </c>
      <c r="H147" s="1" t="s">
        <v>141</v>
      </c>
      <c r="I147">
        <v>2</v>
      </c>
      <c r="J147">
        <v>3434.03</v>
      </c>
      <c r="K147">
        <v>0</v>
      </c>
      <c r="L147">
        <v>976.14</v>
      </c>
      <c r="M147" s="1" t="s">
        <v>20</v>
      </c>
    </row>
    <row r="148" spans="1:13" x14ac:dyDescent="0.3">
      <c r="A148" s="1" t="s">
        <v>450</v>
      </c>
      <c r="B148" s="2">
        <v>45894</v>
      </c>
      <c r="C148" s="1" t="s">
        <v>451</v>
      </c>
      <c r="D148" s="1" t="s">
        <v>452</v>
      </c>
      <c r="E148" s="1" t="s">
        <v>37</v>
      </c>
      <c r="F148" s="1" t="s">
        <v>25</v>
      </c>
      <c r="G148" s="1" t="s">
        <v>44</v>
      </c>
      <c r="H148" s="1" t="s">
        <v>75</v>
      </c>
      <c r="I148">
        <v>9</v>
      </c>
      <c r="J148">
        <v>75486.81</v>
      </c>
      <c r="K148">
        <v>0.1</v>
      </c>
      <c r="L148">
        <v>14208.12</v>
      </c>
      <c r="M148" s="1" t="s">
        <v>55</v>
      </c>
    </row>
    <row r="149" spans="1:13" x14ac:dyDescent="0.3">
      <c r="A149" s="1" t="s">
        <v>453</v>
      </c>
      <c r="B149" s="2">
        <v>45800</v>
      </c>
      <c r="C149" s="1" t="s">
        <v>454</v>
      </c>
      <c r="D149" s="1" t="s">
        <v>455</v>
      </c>
      <c r="E149" s="1" t="s">
        <v>43</v>
      </c>
      <c r="F149" s="1" t="s">
        <v>69</v>
      </c>
      <c r="G149" s="1" t="s">
        <v>44</v>
      </c>
      <c r="H149" s="1" t="s">
        <v>75</v>
      </c>
      <c r="I149">
        <v>8</v>
      </c>
      <c r="J149">
        <v>46229.59</v>
      </c>
      <c r="K149">
        <v>0.15</v>
      </c>
      <c r="L149">
        <v>6216.86</v>
      </c>
      <c r="M149" s="1" t="s">
        <v>20</v>
      </c>
    </row>
    <row r="150" spans="1:13" x14ac:dyDescent="0.3">
      <c r="A150" s="1" t="s">
        <v>456</v>
      </c>
      <c r="B150" s="2">
        <v>45828</v>
      </c>
      <c r="C150" s="1" t="s">
        <v>457</v>
      </c>
      <c r="D150" s="1" t="s">
        <v>458</v>
      </c>
      <c r="E150" s="1" t="s">
        <v>43</v>
      </c>
      <c r="F150" s="1" t="s">
        <v>25</v>
      </c>
      <c r="G150" s="1" t="s">
        <v>26</v>
      </c>
      <c r="H150" s="1" t="s">
        <v>231</v>
      </c>
      <c r="I150">
        <v>3</v>
      </c>
      <c r="J150">
        <v>8549.7999999999993</v>
      </c>
      <c r="K150">
        <v>0</v>
      </c>
      <c r="L150">
        <v>2060.1799999999998</v>
      </c>
      <c r="M150" s="1" t="s">
        <v>55</v>
      </c>
    </row>
    <row r="151" spans="1:13" x14ac:dyDescent="0.3">
      <c r="A151" s="1" t="s">
        <v>459</v>
      </c>
      <c r="B151" s="2">
        <v>45686</v>
      </c>
      <c r="C151" s="1" t="s">
        <v>460</v>
      </c>
      <c r="D151" s="1" t="s">
        <v>461</v>
      </c>
      <c r="E151" s="1" t="s">
        <v>16</v>
      </c>
      <c r="F151" s="1" t="s">
        <v>25</v>
      </c>
      <c r="G151" s="1" t="s">
        <v>44</v>
      </c>
      <c r="H151" s="1" t="s">
        <v>45</v>
      </c>
      <c r="I151">
        <v>8</v>
      </c>
      <c r="J151">
        <v>105201.66</v>
      </c>
      <c r="K151">
        <v>0.1</v>
      </c>
      <c r="L151">
        <v>20916.98</v>
      </c>
      <c r="M151" s="1" t="s">
        <v>28</v>
      </c>
    </row>
    <row r="152" spans="1:13" x14ac:dyDescent="0.3">
      <c r="A152" s="1" t="s">
        <v>462</v>
      </c>
      <c r="B152" s="2">
        <v>45693</v>
      </c>
      <c r="C152" s="1" t="s">
        <v>463</v>
      </c>
      <c r="D152" s="1" t="s">
        <v>464</v>
      </c>
      <c r="E152" s="1" t="s">
        <v>16</v>
      </c>
      <c r="F152" s="1" t="s">
        <v>17</v>
      </c>
      <c r="G152" s="1" t="s">
        <v>18</v>
      </c>
      <c r="H152" s="1" t="s">
        <v>19</v>
      </c>
      <c r="I152">
        <v>10</v>
      </c>
      <c r="J152">
        <v>10601.93</v>
      </c>
      <c r="K152">
        <v>0</v>
      </c>
      <c r="L152">
        <v>2849.78</v>
      </c>
      <c r="M152" s="1" t="s">
        <v>28</v>
      </c>
    </row>
    <row r="153" spans="1:13" x14ac:dyDescent="0.3">
      <c r="A153" s="1" t="s">
        <v>465</v>
      </c>
      <c r="B153" s="2">
        <v>45670</v>
      </c>
      <c r="C153" s="1" t="s">
        <v>466</v>
      </c>
      <c r="D153" s="1" t="s">
        <v>467</v>
      </c>
      <c r="E153" s="1" t="s">
        <v>43</v>
      </c>
      <c r="F153" s="1" t="s">
        <v>25</v>
      </c>
      <c r="G153" s="1" t="s">
        <v>32</v>
      </c>
      <c r="H153" s="1" t="s">
        <v>54</v>
      </c>
      <c r="I153">
        <v>5</v>
      </c>
      <c r="J153">
        <v>87285.25</v>
      </c>
      <c r="K153">
        <v>0.1</v>
      </c>
      <c r="L153">
        <v>18109.98</v>
      </c>
      <c r="M153" s="1" t="s">
        <v>55</v>
      </c>
    </row>
    <row r="154" spans="1:13" x14ac:dyDescent="0.3">
      <c r="A154" s="1" t="s">
        <v>468</v>
      </c>
      <c r="B154" s="2">
        <v>45817</v>
      </c>
      <c r="C154" s="1" t="s">
        <v>469</v>
      </c>
      <c r="D154" s="1" t="s">
        <v>470</v>
      </c>
      <c r="E154" s="1" t="s">
        <v>74</v>
      </c>
      <c r="F154" s="1" t="s">
        <v>17</v>
      </c>
      <c r="G154" s="1" t="s">
        <v>18</v>
      </c>
      <c r="H154" s="1" t="s">
        <v>97</v>
      </c>
      <c r="I154">
        <v>4</v>
      </c>
      <c r="J154">
        <v>3137.06</v>
      </c>
      <c r="K154">
        <v>0.25</v>
      </c>
      <c r="L154">
        <v>964.19</v>
      </c>
      <c r="M154" s="1" t="s">
        <v>39</v>
      </c>
    </row>
    <row r="155" spans="1:13" x14ac:dyDescent="0.3">
      <c r="A155" s="1" t="s">
        <v>471</v>
      </c>
      <c r="B155" s="2">
        <v>45984</v>
      </c>
      <c r="C155" s="1" t="s">
        <v>472</v>
      </c>
      <c r="D155" s="1" t="s">
        <v>473</v>
      </c>
      <c r="E155" s="1" t="s">
        <v>74</v>
      </c>
      <c r="F155" s="1" t="s">
        <v>25</v>
      </c>
      <c r="G155" s="1" t="s">
        <v>18</v>
      </c>
      <c r="H155" s="1" t="s">
        <v>145</v>
      </c>
      <c r="I155">
        <v>7</v>
      </c>
      <c r="J155">
        <v>11231.6</v>
      </c>
      <c r="K155">
        <v>0.1</v>
      </c>
      <c r="L155">
        <v>2874.54</v>
      </c>
      <c r="M155" s="1" t="s">
        <v>28</v>
      </c>
    </row>
    <row r="156" spans="1:13" x14ac:dyDescent="0.3">
      <c r="A156" s="1" t="s">
        <v>474</v>
      </c>
      <c r="B156" s="2">
        <v>45844</v>
      </c>
      <c r="C156" s="1" t="s">
        <v>288</v>
      </c>
      <c r="D156" s="1" t="s">
        <v>289</v>
      </c>
      <c r="E156" s="1" t="s">
        <v>16</v>
      </c>
      <c r="F156" s="1" t="s">
        <v>17</v>
      </c>
      <c r="G156" s="1" t="s">
        <v>32</v>
      </c>
      <c r="H156" s="1" t="s">
        <v>38</v>
      </c>
      <c r="I156">
        <v>3</v>
      </c>
      <c r="J156">
        <v>25534.14</v>
      </c>
      <c r="K156">
        <v>0.15</v>
      </c>
      <c r="L156">
        <v>6893.49</v>
      </c>
      <c r="M156" s="1" t="s">
        <v>28</v>
      </c>
    </row>
    <row r="157" spans="1:13" x14ac:dyDescent="0.3">
      <c r="A157" s="1" t="s">
        <v>475</v>
      </c>
      <c r="B157" s="2">
        <v>45900</v>
      </c>
      <c r="C157" s="1" t="s">
        <v>476</v>
      </c>
      <c r="D157" s="1" t="s">
        <v>477</v>
      </c>
      <c r="E157" s="1" t="s">
        <v>43</v>
      </c>
      <c r="F157" s="1" t="s">
        <v>69</v>
      </c>
      <c r="G157" s="1" t="s">
        <v>26</v>
      </c>
      <c r="H157" s="1" t="s">
        <v>86</v>
      </c>
      <c r="I157">
        <v>8</v>
      </c>
      <c r="J157">
        <v>19057.91</v>
      </c>
      <c r="K157">
        <v>0.15</v>
      </c>
      <c r="L157">
        <v>4691</v>
      </c>
      <c r="M157" s="1" t="s">
        <v>50</v>
      </c>
    </row>
    <row r="158" spans="1:13" x14ac:dyDescent="0.3">
      <c r="A158" s="1" t="s">
        <v>478</v>
      </c>
      <c r="B158" s="2">
        <v>45743</v>
      </c>
      <c r="C158" s="1" t="s">
        <v>479</v>
      </c>
      <c r="D158" s="1" t="s">
        <v>480</v>
      </c>
      <c r="E158" s="1" t="s">
        <v>37</v>
      </c>
      <c r="F158" s="1" t="s">
        <v>69</v>
      </c>
      <c r="G158" s="1" t="s">
        <v>32</v>
      </c>
      <c r="H158" s="1" t="s">
        <v>59</v>
      </c>
      <c r="I158">
        <v>5</v>
      </c>
      <c r="J158">
        <v>72394.600000000006</v>
      </c>
      <c r="K158">
        <v>0.1</v>
      </c>
      <c r="L158">
        <v>15626.13</v>
      </c>
      <c r="M158" s="1" t="s">
        <v>28</v>
      </c>
    </row>
    <row r="159" spans="1:13" x14ac:dyDescent="0.3">
      <c r="A159" s="1" t="s">
        <v>481</v>
      </c>
      <c r="B159" s="2">
        <v>45941</v>
      </c>
      <c r="C159" s="1" t="s">
        <v>482</v>
      </c>
      <c r="D159" s="1" t="s">
        <v>483</v>
      </c>
      <c r="E159" s="1" t="s">
        <v>16</v>
      </c>
      <c r="F159" s="1" t="s">
        <v>69</v>
      </c>
      <c r="G159" s="1" t="s">
        <v>44</v>
      </c>
      <c r="H159" s="1" t="s">
        <v>75</v>
      </c>
      <c r="I159">
        <v>9</v>
      </c>
      <c r="J159">
        <v>97613</v>
      </c>
      <c r="K159">
        <v>0.2</v>
      </c>
      <c r="L159">
        <v>14142.13</v>
      </c>
      <c r="M159" s="1" t="s">
        <v>55</v>
      </c>
    </row>
    <row r="160" spans="1:13" x14ac:dyDescent="0.3">
      <c r="A160" s="1" t="s">
        <v>484</v>
      </c>
      <c r="B160" s="2">
        <v>45723</v>
      </c>
      <c r="C160" s="1" t="s">
        <v>485</v>
      </c>
      <c r="D160" s="1" t="s">
        <v>486</v>
      </c>
      <c r="E160" s="1" t="s">
        <v>43</v>
      </c>
      <c r="F160" s="1" t="s">
        <v>17</v>
      </c>
      <c r="G160" s="1" t="s">
        <v>26</v>
      </c>
      <c r="H160" s="1" t="s">
        <v>86</v>
      </c>
      <c r="I160">
        <v>4</v>
      </c>
      <c r="J160">
        <v>10163.129999999999</v>
      </c>
      <c r="K160">
        <v>0.05</v>
      </c>
      <c r="L160">
        <v>2806.85</v>
      </c>
      <c r="M160" s="1" t="s">
        <v>55</v>
      </c>
    </row>
    <row r="161" spans="1:13" x14ac:dyDescent="0.3">
      <c r="A161" s="1" t="s">
        <v>487</v>
      </c>
      <c r="B161" s="2">
        <v>45827</v>
      </c>
      <c r="C161" s="1" t="s">
        <v>488</v>
      </c>
      <c r="D161" s="1" t="s">
        <v>489</v>
      </c>
      <c r="E161" s="1" t="s">
        <v>74</v>
      </c>
      <c r="F161" s="1" t="s">
        <v>69</v>
      </c>
      <c r="G161" s="1" t="s">
        <v>18</v>
      </c>
      <c r="H161" s="1" t="s">
        <v>141</v>
      </c>
      <c r="I161">
        <v>2</v>
      </c>
      <c r="J161">
        <v>3039.97</v>
      </c>
      <c r="K161">
        <v>0.15</v>
      </c>
      <c r="L161">
        <v>878.98</v>
      </c>
      <c r="M161" s="1" t="s">
        <v>20</v>
      </c>
    </row>
    <row r="162" spans="1:13" x14ac:dyDescent="0.3">
      <c r="A162" s="1" t="s">
        <v>490</v>
      </c>
      <c r="B162" s="2">
        <v>45702</v>
      </c>
      <c r="C162" s="1" t="s">
        <v>491</v>
      </c>
      <c r="D162" s="1" t="s">
        <v>492</v>
      </c>
      <c r="E162" s="1" t="s">
        <v>24</v>
      </c>
      <c r="F162" s="1" t="s">
        <v>17</v>
      </c>
      <c r="G162" s="1" t="s">
        <v>18</v>
      </c>
      <c r="H162" s="1" t="s">
        <v>141</v>
      </c>
      <c r="I162">
        <v>1</v>
      </c>
      <c r="J162">
        <v>2011.64</v>
      </c>
      <c r="K162">
        <v>0.2</v>
      </c>
      <c r="L162">
        <v>475.24</v>
      </c>
      <c r="M162" s="1" t="s">
        <v>20</v>
      </c>
    </row>
    <row r="163" spans="1:13" x14ac:dyDescent="0.3">
      <c r="A163" s="1" t="s">
        <v>493</v>
      </c>
      <c r="B163" s="2">
        <v>45719</v>
      </c>
      <c r="C163" s="1" t="s">
        <v>494</v>
      </c>
      <c r="D163" s="1" t="s">
        <v>495</v>
      </c>
      <c r="E163" s="1" t="s">
        <v>43</v>
      </c>
      <c r="F163" s="1" t="s">
        <v>17</v>
      </c>
      <c r="G163" s="1" t="s">
        <v>18</v>
      </c>
      <c r="H163" s="1" t="s">
        <v>145</v>
      </c>
      <c r="I163">
        <v>6</v>
      </c>
      <c r="J163">
        <v>11362.29</v>
      </c>
      <c r="K163">
        <v>0.15</v>
      </c>
      <c r="L163">
        <v>3400.2</v>
      </c>
      <c r="M163" s="1" t="s">
        <v>28</v>
      </c>
    </row>
    <row r="164" spans="1:13" x14ac:dyDescent="0.3">
      <c r="A164" s="1" t="s">
        <v>496</v>
      </c>
      <c r="B164" s="2">
        <v>45791</v>
      </c>
      <c r="C164" s="1" t="s">
        <v>427</v>
      </c>
      <c r="D164" s="1" t="s">
        <v>428</v>
      </c>
      <c r="E164" s="1" t="s">
        <v>37</v>
      </c>
      <c r="F164" s="1" t="s">
        <v>25</v>
      </c>
      <c r="G164" s="1" t="s">
        <v>32</v>
      </c>
      <c r="H164" s="1" t="s">
        <v>38</v>
      </c>
      <c r="I164">
        <v>8</v>
      </c>
      <c r="J164">
        <v>102680.64</v>
      </c>
      <c r="K164">
        <v>0.15</v>
      </c>
      <c r="L164">
        <v>27626.7</v>
      </c>
      <c r="M164" s="1" t="s">
        <v>28</v>
      </c>
    </row>
    <row r="165" spans="1:13" x14ac:dyDescent="0.3">
      <c r="A165" s="1" t="s">
        <v>497</v>
      </c>
      <c r="B165" s="2">
        <v>45941</v>
      </c>
      <c r="C165" s="1" t="s">
        <v>498</v>
      </c>
      <c r="D165" s="1" t="s">
        <v>499</v>
      </c>
      <c r="E165" s="1" t="s">
        <v>74</v>
      </c>
      <c r="F165" s="1" t="s">
        <v>25</v>
      </c>
      <c r="G165" s="1" t="s">
        <v>26</v>
      </c>
      <c r="H165" s="1" t="s">
        <v>231</v>
      </c>
      <c r="I165">
        <v>1</v>
      </c>
      <c r="J165">
        <v>1980.89</v>
      </c>
      <c r="K165">
        <v>0</v>
      </c>
      <c r="L165">
        <v>581.80999999999995</v>
      </c>
      <c r="M165" s="1" t="s">
        <v>20</v>
      </c>
    </row>
    <row r="166" spans="1:13" x14ac:dyDescent="0.3">
      <c r="A166" s="1" t="s">
        <v>500</v>
      </c>
      <c r="B166" s="2">
        <v>45685</v>
      </c>
      <c r="C166" s="1" t="s">
        <v>501</v>
      </c>
      <c r="D166" s="1" t="s">
        <v>502</v>
      </c>
      <c r="E166" s="1" t="s">
        <v>24</v>
      </c>
      <c r="F166" s="1" t="s">
        <v>69</v>
      </c>
      <c r="G166" s="1" t="s">
        <v>26</v>
      </c>
      <c r="H166" s="1" t="s">
        <v>49</v>
      </c>
      <c r="I166">
        <v>2</v>
      </c>
      <c r="J166">
        <v>3615.26</v>
      </c>
      <c r="K166">
        <v>0.1</v>
      </c>
      <c r="L166">
        <v>870.23</v>
      </c>
      <c r="M166" s="1" t="s">
        <v>28</v>
      </c>
    </row>
    <row r="167" spans="1:13" x14ac:dyDescent="0.3">
      <c r="A167" s="1" t="s">
        <v>503</v>
      </c>
      <c r="B167" s="2">
        <v>45765</v>
      </c>
      <c r="C167" s="1" t="s">
        <v>504</v>
      </c>
      <c r="D167" s="1" t="s">
        <v>505</v>
      </c>
      <c r="E167" s="1" t="s">
        <v>74</v>
      </c>
      <c r="F167" s="1" t="s">
        <v>69</v>
      </c>
      <c r="G167" s="1" t="s">
        <v>18</v>
      </c>
      <c r="H167" s="1" t="s">
        <v>19</v>
      </c>
      <c r="I167">
        <v>2</v>
      </c>
      <c r="J167">
        <v>2001.92</v>
      </c>
      <c r="K167">
        <v>0</v>
      </c>
      <c r="L167">
        <v>634.4</v>
      </c>
      <c r="M167" s="1" t="s">
        <v>50</v>
      </c>
    </row>
    <row r="168" spans="1:13" x14ac:dyDescent="0.3">
      <c r="A168" s="1" t="s">
        <v>506</v>
      </c>
      <c r="B168" s="2">
        <v>45701</v>
      </c>
      <c r="C168" s="1" t="s">
        <v>507</v>
      </c>
      <c r="D168" s="1" t="s">
        <v>508</v>
      </c>
      <c r="E168" s="1" t="s">
        <v>16</v>
      </c>
      <c r="F168" s="1" t="s">
        <v>25</v>
      </c>
      <c r="G168" s="1" t="s">
        <v>32</v>
      </c>
      <c r="H168" s="1" t="s">
        <v>79</v>
      </c>
      <c r="I168">
        <v>2</v>
      </c>
      <c r="J168">
        <v>15697.13</v>
      </c>
      <c r="K168">
        <v>0.1</v>
      </c>
      <c r="L168">
        <v>3132.03</v>
      </c>
      <c r="M168" s="1" t="s">
        <v>28</v>
      </c>
    </row>
    <row r="169" spans="1:13" x14ac:dyDescent="0.3">
      <c r="A169" s="1" t="s">
        <v>509</v>
      </c>
      <c r="B169" s="2">
        <v>45997</v>
      </c>
      <c r="C169" s="1" t="s">
        <v>510</v>
      </c>
      <c r="D169" s="1" t="s">
        <v>511</v>
      </c>
      <c r="E169" s="1" t="s">
        <v>74</v>
      </c>
      <c r="F169" s="1" t="s">
        <v>25</v>
      </c>
      <c r="G169" s="1" t="s">
        <v>32</v>
      </c>
      <c r="H169" s="1" t="s">
        <v>54</v>
      </c>
      <c r="I169">
        <v>7</v>
      </c>
      <c r="J169">
        <v>64643.22</v>
      </c>
      <c r="K169">
        <v>0.15</v>
      </c>
      <c r="L169">
        <v>17317.8</v>
      </c>
      <c r="M169" s="1" t="s">
        <v>50</v>
      </c>
    </row>
    <row r="170" spans="1:13" x14ac:dyDescent="0.3">
      <c r="A170" s="1" t="s">
        <v>512</v>
      </c>
      <c r="B170" s="2">
        <v>45943</v>
      </c>
      <c r="C170" s="1" t="s">
        <v>105</v>
      </c>
      <c r="D170" s="1" t="s">
        <v>106</v>
      </c>
      <c r="E170" s="1" t="s">
        <v>24</v>
      </c>
      <c r="F170" s="1" t="s">
        <v>25</v>
      </c>
      <c r="G170" s="1" t="s">
        <v>18</v>
      </c>
      <c r="H170" s="1" t="s">
        <v>141</v>
      </c>
      <c r="I170">
        <v>7</v>
      </c>
      <c r="J170">
        <v>11941.97</v>
      </c>
      <c r="K170">
        <v>0.1</v>
      </c>
      <c r="L170">
        <v>3446.29</v>
      </c>
      <c r="M170" s="1" t="s">
        <v>50</v>
      </c>
    </row>
    <row r="171" spans="1:13" x14ac:dyDescent="0.3">
      <c r="A171" s="1" t="s">
        <v>513</v>
      </c>
      <c r="B171" s="2">
        <v>45988</v>
      </c>
      <c r="C171" s="1" t="s">
        <v>153</v>
      </c>
      <c r="D171" s="1" t="s">
        <v>154</v>
      </c>
      <c r="E171" s="1" t="s">
        <v>16</v>
      </c>
      <c r="F171" s="1" t="s">
        <v>25</v>
      </c>
      <c r="G171" s="1" t="s">
        <v>32</v>
      </c>
      <c r="H171" s="1" t="s">
        <v>79</v>
      </c>
      <c r="I171">
        <v>5</v>
      </c>
      <c r="J171">
        <v>80560.53</v>
      </c>
      <c r="K171">
        <v>0.15</v>
      </c>
      <c r="L171">
        <v>17885.810000000001</v>
      </c>
      <c r="M171" s="1" t="s">
        <v>28</v>
      </c>
    </row>
    <row r="172" spans="1:13" x14ac:dyDescent="0.3">
      <c r="A172" s="1" t="s">
        <v>514</v>
      </c>
      <c r="B172" s="2">
        <v>45785</v>
      </c>
      <c r="C172" s="1" t="s">
        <v>515</v>
      </c>
      <c r="D172" s="1" t="s">
        <v>516</v>
      </c>
      <c r="E172" s="1" t="s">
        <v>43</v>
      </c>
      <c r="F172" s="1" t="s">
        <v>25</v>
      </c>
      <c r="G172" s="1" t="s">
        <v>44</v>
      </c>
      <c r="H172" s="1" t="s">
        <v>155</v>
      </c>
      <c r="I172">
        <v>2</v>
      </c>
      <c r="J172">
        <v>22186.52</v>
      </c>
      <c r="K172">
        <v>0.15</v>
      </c>
      <c r="L172">
        <v>3486.72</v>
      </c>
      <c r="M172" s="1" t="s">
        <v>55</v>
      </c>
    </row>
    <row r="173" spans="1:13" x14ac:dyDescent="0.3">
      <c r="A173" s="1" t="s">
        <v>517</v>
      </c>
      <c r="B173" s="2">
        <v>46005</v>
      </c>
      <c r="C173" s="1" t="s">
        <v>518</v>
      </c>
      <c r="D173" s="1" t="s">
        <v>519</v>
      </c>
      <c r="E173" s="1" t="s">
        <v>24</v>
      </c>
      <c r="F173" s="1" t="s">
        <v>25</v>
      </c>
      <c r="G173" s="1" t="s">
        <v>32</v>
      </c>
      <c r="H173" s="1" t="s">
        <v>33</v>
      </c>
      <c r="I173">
        <v>7</v>
      </c>
      <c r="J173">
        <v>99954.11</v>
      </c>
      <c r="K173">
        <v>0.1</v>
      </c>
      <c r="L173">
        <v>20394.34</v>
      </c>
      <c r="M173" s="1" t="s">
        <v>39</v>
      </c>
    </row>
    <row r="174" spans="1:13" x14ac:dyDescent="0.3">
      <c r="A174" s="1" t="s">
        <v>520</v>
      </c>
      <c r="B174" s="2">
        <v>45888</v>
      </c>
      <c r="C174" s="1" t="s">
        <v>521</v>
      </c>
      <c r="D174" s="1" t="s">
        <v>522</v>
      </c>
      <c r="E174" s="1" t="s">
        <v>37</v>
      </c>
      <c r="F174" s="1" t="s">
        <v>69</v>
      </c>
      <c r="G174" s="1" t="s">
        <v>32</v>
      </c>
      <c r="H174" s="1" t="s">
        <v>38</v>
      </c>
      <c r="I174">
        <v>3</v>
      </c>
      <c r="J174">
        <v>37463.47</v>
      </c>
      <c r="K174">
        <v>0.2</v>
      </c>
      <c r="L174">
        <v>8510.99</v>
      </c>
      <c r="M174" s="1" t="s">
        <v>39</v>
      </c>
    </row>
    <row r="175" spans="1:13" x14ac:dyDescent="0.3">
      <c r="A175" s="1" t="s">
        <v>523</v>
      </c>
      <c r="B175" s="2">
        <v>45847</v>
      </c>
      <c r="C175" s="1" t="s">
        <v>524</v>
      </c>
      <c r="D175" s="1" t="s">
        <v>525</v>
      </c>
      <c r="E175" s="1" t="s">
        <v>16</v>
      </c>
      <c r="F175" s="1" t="s">
        <v>25</v>
      </c>
      <c r="G175" s="1" t="s">
        <v>26</v>
      </c>
      <c r="H175" s="1" t="s">
        <v>231</v>
      </c>
      <c r="I175">
        <v>3</v>
      </c>
      <c r="J175">
        <v>5216.6000000000004</v>
      </c>
      <c r="K175">
        <v>0.15</v>
      </c>
      <c r="L175">
        <v>1300.92</v>
      </c>
      <c r="M175" s="1" t="s">
        <v>55</v>
      </c>
    </row>
    <row r="176" spans="1:13" x14ac:dyDescent="0.3">
      <c r="A176" s="1" t="s">
        <v>526</v>
      </c>
      <c r="B176" s="2">
        <v>45882</v>
      </c>
      <c r="C176" s="1" t="s">
        <v>527</v>
      </c>
      <c r="D176" s="1" t="s">
        <v>528</v>
      </c>
      <c r="E176" s="1" t="s">
        <v>74</v>
      </c>
      <c r="F176" s="1" t="s">
        <v>25</v>
      </c>
      <c r="G176" s="1" t="s">
        <v>44</v>
      </c>
      <c r="H176" s="1" t="s">
        <v>155</v>
      </c>
      <c r="I176">
        <v>5</v>
      </c>
      <c r="J176">
        <v>61210.42</v>
      </c>
      <c r="K176">
        <v>0.15</v>
      </c>
      <c r="L176">
        <v>13777.07</v>
      </c>
      <c r="M176" s="1" t="s">
        <v>50</v>
      </c>
    </row>
    <row r="177" spans="1:13" x14ac:dyDescent="0.3">
      <c r="A177" s="1" t="s">
        <v>529</v>
      </c>
      <c r="B177" s="2">
        <v>45940</v>
      </c>
      <c r="C177" s="1" t="s">
        <v>530</v>
      </c>
      <c r="D177" s="1" t="s">
        <v>531</v>
      </c>
      <c r="E177" s="1" t="s">
        <v>16</v>
      </c>
      <c r="F177" s="1" t="s">
        <v>69</v>
      </c>
      <c r="G177" s="1" t="s">
        <v>32</v>
      </c>
      <c r="H177" s="1" t="s">
        <v>59</v>
      </c>
      <c r="I177">
        <v>5</v>
      </c>
      <c r="J177">
        <v>37685.72</v>
      </c>
      <c r="K177">
        <v>0.1</v>
      </c>
      <c r="L177">
        <v>10012.34</v>
      </c>
      <c r="M177" s="1" t="s">
        <v>55</v>
      </c>
    </row>
    <row r="178" spans="1:13" x14ac:dyDescent="0.3">
      <c r="A178" s="1" t="s">
        <v>532</v>
      </c>
      <c r="B178" s="2">
        <v>45778</v>
      </c>
      <c r="C178" s="1" t="s">
        <v>533</v>
      </c>
      <c r="D178" s="1" t="s">
        <v>534</v>
      </c>
      <c r="E178" s="1" t="s">
        <v>16</v>
      </c>
      <c r="F178" s="1" t="s">
        <v>25</v>
      </c>
      <c r="G178" s="1" t="s">
        <v>18</v>
      </c>
      <c r="H178" s="1" t="s">
        <v>97</v>
      </c>
      <c r="I178">
        <v>9</v>
      </c>
      <c r="J178">
        <v>8294.43</v>
      </c>
      <c r="K178">
        <v>0.15</v>
      </c>
      <c r="L178">
        <v>2253.19</v>
      </c>
      <c r="M178" s="1" t="s">
        <v>20</v>
      </c>
    </row>
    <row r="179" spans="1:13" x14ac:dyDescent="0.3">
      <c r="A179" s="1" t="s">
        <v>535</v>
      </c>
      <c r="B179" s="2">
        <v>45773</v>
      </c>
      <c r="C179" s="1" t="s">
        <v>536</v>
      </c>
      <c r="D179" s="1" t="s">
        <v>537</v>
      </c>
      <c r="E179" s="1" t="s">
        <v>24</v>
      </c>
      <c r="F179" s="1" t="s">
        <v>17</v>
      </c>
      <c r="G179" s="1" t="s">
        <v>26</v>
      </c>
      <c r="H179" s="1" t="s">
        <v>49</v>
      </c>
      <c r="I179">
        <v>4</v>
      </c>
      <c r="J179">
        <v>13358.61</v>
      </c>
      <c r="K179">
        <v>0.15</v>
      </c>
      <c r="L179">
        <v>3066.2</v>
      </c>
      <c r="M179" s="1" t="s">
        <v>28</v>
      </c>
    </row>
    <row r="180" spans="1:13" x14ac:dyDescent="0.3">
      <c r="A180" s="1" t="s">
        <v>538</v>
      </c>
      <c r="B180" s="2">
        <v>45890</v>
      </c>
      <c r="C180" s="1" t="s">
        <v>323</v>
      </c>
      <c r="D180" s="1" t="s">
        <v>324</v>
      </c>
      <c r="E180" s="1" t="s">
        <v>16</v>
      </c>
      <c r="F180" s="1" t="s">
        <v>25</v>
      </c>
      <c r="G180" s="1" t="s">
        <v>44</v>
      </c>
      <c r="H180" s="1" t="s">
        <v>155</v>
      </c>
      <c r="I180">
        <v>5</v>
      </c>
      <c r="J180">
        <v>52676.29</v>
      </c>
      <c r="K180">
        <v>0.1</v>
      </c>
      <c r="L180">
        <v>9898.7999999999993</v>
      </c>
      <c r="M180" s="1" t="s">
        <v>28</v>
      </c>
    </row>
    <row r="181" spans="1:13" x14ac:dyDescent="0.3">
      <c r="A181" s="1" t="s">
        <v>539</v>
      </c>
      <c r="B181" s="2">
        <v>45916</v>
      </c>
      <c r="C181" s="1" t="s">
        <v>540</v>
      </c>
      <c r="D181" s="1" t="s">
        <v>541</v>
      </c>
      <c r="E181" s="1" t="s">
        <v>43</v>
      </c>
      <c r="F181" s="1" t="s">
        <v>69</v>
      </c>
      <c r="G181" s="1" t="s">
        <v>32</v>
      </c>
      <c r="H181" s="1" t="s">
        <v>59</v>
      </c>
      <c r="I181">
        <v>5</v>
      </c>
      <c r="J181">
        <v>45785.19</v>
      </c>
      <c r="K181">
        <v>0.2</v>
      </c>
      <c r="L181">
        <v>7850.76</v>
      </c>
      <c r="M181" s="1" t="s">
        <v>55</v>
      </c>
    </row>
    <row r="182" spans="1:13" x14ac:dyDescent="0.3">
      <c r="A182" s="1" t="s">
        <v>542</v>
      </c>
      <c r="B182" s="2">
        <v>46016</v>
      </c>
      <c r="C182" s="1" t="s">
        <v>77</v>
      </c>
      <c r="D182" s="1" t="s">
        <v>78</v>
      </c>
      <c r="E182" s="1" t="s">
        <v>37</v>
      </c>
      <c r="F182" s="1" t="s">
        <v>17</v>
      </c>
      <c r="G182" s="1" t="s">
        <v>18</v>
      </c>
      <c r="H182" s="1" t="s">
        <v>141</v>
      </c>
      <c r="I182">
        <v>9</v>
      </c>
      <c r="J182">
        <v>18752.8</v>
      </c>
      <c r="K182">
        <v>0.1</v>
      </c>
      <c r="L182">
        <v>6012.27</v>
      </c>
      <c r="M182" s="1" t="s">
        <v>28</v>
      </c>
    </row>
    <row r="183" spans="1:13" x14ac:dyDescent="0.3">
      <c r="A183" s="1" t="s">
        <v>543</v>
      </c>
      <c r="B183" s="2">
        <v>45855</v>
      </c>
      <c r="C183" s="1" t="s">
        <v>199</v>
      </c>
      <c r="D183" s="1" t="s">
        <v>200</v>
      </c>
      <c r="E183" s="1" t="s">
        <v>43</v>
      </c>
      <c r="F183" s="1" t="s">
        <v>25</v>
      </c>
      <c r="G183" s="1" t="s">
        <v>44</v>
      </c>
      <c r="H183" s="1" t="s">
        <v>90</v>
      </c>
      <c r="I183">
        <v>6</v>
      </c>
      <c r="J183">
        <v>67321.45</v>
      </c>
      <c r="K183">
        <v>0.1</v>
      </c>
      <c r="L183">
        <v>10550.97</v>
      </c>
      <c r="M183" s="1" t="s">
        <v>28</v>
      </c>
    </row>
    <row r="184" spans="1:13" x14ac:dyDescent="0.3">
      <c r="A184" s="1" t="s">
        <v>544</v>
      </c>
      <c r="B184" s="2">
        <v>45794</v>
      </c>
      <c r="C184" s="1" t="s">
        <v>545</v>
      </c>
      <c r="D184" s="1" t="s">
        <v>546</v>
      </c>
      <c r="E184" s="1" t="s">
        <v>43</v>
      </c>
      <c r="F184" s="1" t="s">
        <v>69</v>
      </c>
      <c r="G184" s="1" t="s">
        <v>32</v>
      </c>
      <c r="H184" s="1" t="s">
        <v>38</v>
      </c>
      <c r="I184">
        <v>9</v>
      </c>
      <c r="J184">
        <v>80223.81</v>
      </c>
      <c r="K184">
        <v>0.05</v>
      </c>
      <c r="L184">
        <v>13778.86</v>
      </c>
      <c r="M184" s="1" t="s">
        <v>28</v>
      </c>
    </row>
    <row r="185" spans="1:13" x14ac:dyDescent="0.3">
      <c r="A185" s="1" t="s">
        <v>547</v>
      </c>
      <c r="B185" s="2">
        <v>45975</v>
      </c>
      <c r="C185" s="1" t="s">
        <v>72</v>
      </c>
      <c r="D185" s="1" t="s">
        <v>73</v>
      </c>
      <c r="E185" s="1" t="s">
        <v>16</v>
      </c>
      <c r="F185" s="1" t="s">
        <v>25</v>
      </c>
      <c r="G185" s="1" t="s">
        <v>44</v>
      </c>
      <c r="H185" s="1" t="s">
        <v>155</v>
      </c>
      <c r="I185">
        <v>5</v>
      </c>
      <c r="J185">
        <v>42623.839999999997</v>
      </c>
      <c r="K185">
        <v>0.25</v>
      </c>
      <c r="L185">
        <v>9151.6</v>
      </c>
      <c r="M185" s="1" t="s">
        <v>28</v>
      </c>
    </row>
    <row r="186" spans="1:13" x14ac:dyDescent="0.3">
      <c r="A186" s="1" t="s">
        <v>548</v>
      </c>
      <c r="B186" s="2">
        <v>45822</v>
      </c>
      <c r="C186" s="1" t="s">
        <v>306</v>
      </c>
      <c r="D186" s="1" t="s">
        <v>307</v>
      </c>
      <c r="E186" s="1" t="s">
        <v>74</v>
      </c>
      <c r="F186" s="1" t="s">
        <v>25</v>
      </c>
      <c r="G186" s="1" t="s">
        <v>26</v>
      </c>
      <c r="H186" s="1" t="s">
        <v>49</v>
      </c>
      <c r="I186">
        <v>6</v>
      </c>
      <c r="J186">
        <v>10787.75</v>
      </c>
      <c r="K186">
        <v>0.2</v>
      </c>
      <c r="L186">
        <v>2923.63</v>
      </c>
      <c r="M186" s="1" t="s">
        <v>39</v>
      </c>
    </row>
    <row r="187" spans="1:13" x14ac:dyDescent="0.3">
      <c r="A187" s="1" t="s">
        <v>549</v>
      </c>
      <c r="B187" s="2">
        <v>45882</v>
      </c>
      <c r="C187" s="1" t="s">
        <v>550</v>
      </c>
      <c r="D187" s="1" t="s">
        <v>551</v>
      </c>
      <c r="E187" s="1" t="s">
        <v>16</v>
      </c>
      <c r="F187" s="1" t="s">
        <v>25</v>
      </c>
      <c r="G187" s="1" t="s">
        <v>44</v>
      </c>
      <c r="H187" s="1" t="s">
        <v>45</v>
      </c>
      <c r="I187">
        <v>10</v>
      </c>
      <c r="J187">
        <v>80669.87</v>
      </c>
      <c r="K187">
        <v>0.25</v>
      </c>
      <c r="L187">
        <v>12416.37</v>
      </c>
      <c r="M187" s="1" t="s">
        <v>55</v>
      </c>
    </row>
    <row r="188" spans="1:13" x14ac:dyDescent="0.3">
      <c r="A188" s="1" t="s">
        <v>552</v>
      </c>
      <c r="B188" s="2">
        <v>45964</v>
      </c>
      <c r="C188" s="1" t="s">
        <v>252</v>
      </c>
      <c r="D188" s="1" t="s">
        <v>253</v>
      </c>
      <c r="E188" s="1" t="s">
        <v>24</v>
      </c>
      <c r="F188" s="1" t="s">
        <v>69</v>
      </c>
      <c r="G188" s="1" t="s">
        <v>44</v>
      </c>
      <c r="H188" s="1" t="s">
        <v>70</v>
      </c>
      <c r="I188">
        <v>1</v>
      </c>
      <c r="J188">
        <v>6997.82</v>
      </c>
      <c r="K188">
        <v>0.05</v>
      </c>
      <c r="L188">
        <v>1008.25</v>
      </c>
      <c r="M188" s="1" t="s">
        <v>50</v>
      </c>
    </row>
    <row r="189" spans="1:13" x14ac:dyDescent="0.3">
      <c r="A189" s="1" t="s">
        <v>553</v>
      </c>
      <c r="B189" s="2">
        <v>45891</v>
      </c>
      <c r="C189" s="1" t="s">
        <v>554</v>
      </c>
      <c r="D189" s="1" t="s">
        <v>555</v>
      </c>
      <c r="E189" s="1" t="s">
        <v>74</v>
      </c>
      <c r="F189" s="1" t="s">
        <v>25</v>
      </c>
      <c r="G189" s="1" t="s">
        <v>44</v>
      </c>
      <c r="H189" s="1" t="s">
        <v>45</v>
      </c>
      <c r="I189">
        <v>8</v>
      </c>
      <c r="J189">
        <v>81119.3</v>
      </c>
      <c r="K189">
        <v>0.1</v>
      </c>
      <c r="L189">
        <v>16014.01</v>
      </c>
      <c r="M189" s="1" t="s">
        <v>28</v>
      </c>
    </row>
    <row r="190" spans="1:13" x14ac:dyDescent="0.3">
      <c r="A190" s="1" t="s">
        <v>556</v>
      </c>
      <c r="B190" s="2">
        <v>45829</v>
      </c>
      <c r="C190" s="1" t="s">
        <v>236</v>
      </c>
      <c r="D190" s="1" t="s">
        <v>237</v>
      </c>
      <c r="E190" s="1" t="s">
        <v>16</v>
      </c>
      <c r="F190" s="1" t="s">
        <v>25</v>
      </c>
      <c r="G190" s="1" t="s">
        <v>18</v>
      </c>
      <c r="H190" s="1" t="s">
        <v>122</v>
      </c>
      <c r="I190">
        <v>9</v>
      </c>
      <c r="J190">
        <v>19830.740000000002</v>
      </c>
      <c r="K190">
        <v>0.15</v>
      </c>
      <c r="L190">
        <v>4684.42</v>
      </c>
      <c r="M190" s="1" t="s">
        <v>28</v>
      </c>
    </row>
    <row r="191" spans="1:13" x14ac:dyDescent="0.3">
      <c r="A191" s="1" t="s">
        <v>557</v>
      </c>
      <c r="B191" s="2">
        <v>45809</v>
      </c>
      <c r="C191" s="1" t="s">
        <v>558</v>
      </c>
      <c r="D191" s="1" t="s">
        <v>559</v>
      </c>
      <c r="E191" s="1" t="s">
        <v>24</v>
      </c>
      <c r="F191" s="1" t="s">
        <v>25</v>
      </c>
      <c r="G191" s="1" t="s">
        <v>32</v>
      </c>
      <c r="H191" s="1" t="s">
        <v>38</v>
      </c>
      <c r="I191">
        <v>2</v>
      </c>
      <c r="J191">
        <v>20275.62</v>
      </c>
      <c r="K191">
        <v>0.15</v>
      </c>
      <c r="L191">
        <v>4165.1499999999996</v>
      </c>
      <c r="M191" s="1" t="s">
        <v>39</v>
      </c>
    </row>
    <row r="192" spans="1:13" x14ac:dyDescent="0.3">
      <c r="A192" s="1" t="s">
        <v>560</v>
      </c>
      <c r="B192" s="2">
        <v>45972</v>
      </c>
      <c r="C192" s="1" t="s">
        <v>561</v>
      </c>
      <c r="D192" s="1" t="s">
        <v>562</v>
      </c>
      <c r="E192" s="1" t="s">
        <v>74</v>
      </c>
      <c r="F192" s="1" t="s">
        <v>25</v>
      </c>
      <c r="G192" s="1" t="s">
        <v>26</v>
      </c>
      <c r="H192" s="1" t="s">
        <v>27</v>
      </c>
      <c r="I192">
        <v>3</v>
      </c>
      <c r="J192">
        <v>6184.08</v>
      </c>
      <c r="K192">
        <v>0.1</v>
      </c>
      <c r="L192">
        <v>1366.18</v>
      </c>
      <c r="M192" s="1" t="s">
        <v>28</v>
      </c>
    </row>
    <row r="193" spans="1:13" x14ac:dyDescent="0.3">
      <c r="A193" s="1" t="s">
        <v>563</v>
      </c>
      <c r="B193" s="2">
        <v>45817</v>
      </c>
      <c r="C193" s="1" t="s">
        <v>564</v>
      </c>
      <c r="D193" s="1" t="s">
        <v>565</v>
      </c>
      <c r="E193" s="1" t="s">
        <v>16</v>
      </c>
      <c r="F193" s="1" t="s">
        <v>25</v>
      </c>
      <c r="G193" s="1" t="s">
        <v>26</v>
      </c>
      <c r="H193" s="1" t="s">
        <v>231</v>
      </c>
      <c r="I193">
        <v>6</v>
      </c>
      <c r="J193">
        <v>10753.14</v>
      </c>
      <c r="K193">
        <v>0.15</v>
      </c>
      <c r="L193">
        <v>2686.39</v>
      </c>
      <c r="M193" s="1" t="s">
        <v>55</v>
      </c>
    </row>
    <row r="194" spans="1:13" x14ac:dyDescent="0.3">
      <c r="A194" s="1" t="s">
        <v>566</v>
      </c>
      <c r="B194" s="2">
        <v>45753</v>
      </c>
      <c r="C194" s="1" t="s">
        <v>567</v>
      </c>
      <c r="D194" s="1" t="s">
        <v>568</v>
      </c>
      <c r="E194" s="1" t="s">
        <v>24</v>
      </c>
      <c r="F194" s="1" t="s">
        <v>25</v>
      </c>
      <c r="G194" s="1" t="s">
        <v>26</v>
      </c>
      <c r="H194" s="1" t="s">
        <v>49</v>
      </c>
      <c r="I194">
        <v>2</v>
      </c>
      <c r="J194">
        <v>7318.79</v>
      </c>
      <c r="K194">
        <v>0</v>
      </c>
      <c r="L194">
        <v>1919.24</v>
      </c>
      <c r="M194" s="1" t="s">
        <v>39</v>
      </c>
    </row>
    <row r="195" spans="1:13" x14ac:dyDescent="0.3">
      <c r="A195" s="1" t="s">
        <v>569</v>
      </c>
      <c r="B195" s="2">
        <v>45890</v>
      </c>
      <c r="C195" s="1" t="s">
        <v>95</v>
      </c>
      <c r="D195" s="1" t="s">
        <v>96</v>
      </c>
      <c r="E195" s="1" t="s">
        <v>43</v>
      </c>
      <c r="F195" s="1" t="s">
        <v>17</v>
      </c>
      <c r="G195" s="1" t="s">
        <v>32</v>
      </c>
      <c r="H195" s="1" t="s">
        <v>54</v>
      </c>
      <c r="I195">
        <v>1</v>
      </c>
      <c r="J195">
        <v>19027.71</v>
      </c>
      <c r="K195">
        <v>0.1</v>
      </c>
      <c r="L195">
        <v>5094.3</v>
      </c>
      <c r="M195" s="1" t="s">
        <v>20</v>
      </c>
    </row>
    <row r="196" spans="1:13" x14ac:dyDescent="0.3">
      <c r="A196" s="1" t="s">
        <v>570</v>
      </c>
      <c r="B196" s="2">
        <v>45837</v>
      </c>
      <c r="C196" s="1" t="s">
        <v>571</v>
      </c>
      <c r="D196" s="1" t="s">
        <v>572</v>
      </c>
      <c r="E196" s="1" t="s">
        <v>24</v>
      </c>
      <c r="F196" s="1" t="s">
        <v>69</v>
      </c>
      <c r="G196" s="1" t="s">
        <v>32</v>
      </c>
      <c r="H196" s="1" t="s">
        <v>38</v>
      </c>
      <c r="I196">
        <v>4</v>
      </c>
      <c r="J196">
        <v>53078.06</v>
      </c>
      <c r="K196">
        <v>0.15</v>
      </c>
      <c r="L196">
        <v>11671.31</v>
      </c>
      <c r="M196" s="1" t="s">
        <v>28</v>
      </c>
    </row>
    <row r="197" spans="1:13" x14ac:dyDescent="0.3">
      <c r="A197" s="1" t="s">
        <v>573</v>
      </c>
      <c r="B197" s="2">
        <v>45770</v>
      </c>
      <c r="C197" s="1" t="s">
        <v>574</v>
      </c>
      <c r="D197" s="1" t="s">
        <v>575</v>
      </c>
      <c r="E197" s="1" t="s">
        <v>37</v>
      </c>
      <c r="F197" s="1" t="s">
        <v>25</v>
      </c>
      <c r="G197" s="1" t="s">
        <v>32</v>
      </c>
      <c r="H197" s="1" t="s">
        <v>59</v>
      </c>
      <c r="I197">
        <v>5</v>
      </c>
      <c r="J197">
        <v>48640.78</v>
      </c>
      <c r="K197">
        <v>0.1</v>
      </c>
      <c r="L197">
        <v>12393.88</v>
      </c>
      <c r="M197" s="1" t="s">
        <v>50</v>
      </c>
    </row>
    <row r="198" spans="1:13" x14ac:dyDescent="0.3">
      <c r="A198" s="1" t="s">
        <v>576</v>
      </c>
      <c r="B198" s="2">
        <v>45975</v>
      </c>
      <c r="C198" s="1" t="s">
        <v>577</v>
      </c>
      <c r="D198" s="1" t="s">
        <v>578</v>
      </c>
      <c r="E198" s="1" t="s">
        <v>37</v>
      </c>
      <c r="F198" s="1" t="s">
        <v>25</v>
      </c>
      <c r="G198" s="1" t="s">
        <v>32</v>
      </c>
      <c r="H198" s="1" t="s">
        <v>59</v>
      </c>
      <c r="I198">
        <v>10</v>
      </c>
      <c r="J198">
        <v>193033.95</v>
      </c>
      <c r="K198">
        <v>0.05</v>
      </c>
      <c r="L198">
        <v>51927.8</v>
      </c>
      <c r="M198" s="1" t="s">
        <v>39</v>
      </c>
    </row>
    <row r="199" spans="1:13" x14ac:dyDescent="0.3">
      <c r="A199" s="1" t="s">
        <v>579</v>
      </c>
      <c r="B199" s="2">
        <v>45709</v>
      </c>
      <c r="C199" s="1" t="s">
        <v>580</v>
      </c>
      <c r="D199" s="1" t="s">
        <v>581</v>
      </c>
      <c r="E199" s="1" t="s">
        <v>37</v>
      </c>
      <c r="F199" s="1" t="s">
        <v>25</v>
      </c>
      <c r="G199" s="1" t="s">
        <v>18</v>
      </c>
      <c r="H199" s="1" t="s">
        <v>141</v>
      </c>
      <c r="I199">
        <v>4</v>
      </c>
      <c r="J199">
        <v>4613.2</v>
      </c>
      <c r="K199">
        <v>0</v>
      </c>
      <c r="L199">
        <v>1087.6500000000001</v>
      </c>
      <c r="M199" s="1" t="s">
        <v>55</v>
      </c>
    </row>
    <row r="200" spans="1:13" x14ac:dyDescent="0.3">
      <c r="A200" s="1" t="s">
        <v>582</v>
      </c>
      <c r="B200" s="2">
        <v>45925</v>
      </c>
      <c r="C200" s="1" t="s">
        <v>583</v>
      </c>
      <c r="D200" s="1" t="s">
        <v>584</v>
      </c>
      <c r="E200" s="1" t="s">
        <v>74</v>
      </c>
      <c r="F200" s="1" t="s">
        <v>17</v>
      </c>
      <c r="G200" s="1" t="s">
        <v>32</v>
      </c>
      <c r="H200" s="1" t="s">
        <v>33</v>
      </c>
      <c r="I200">
        <v>4</v>
      </c>
      <c r="J200">
        <v>56641.599999999999</v>
      </c>
      <c r="K200">
        <v>0.1</v>
      </c>
      <c r="L200">
        <v>14428.15</v>
      </c>
      <c r="M200" s="1" t="s">
        <v>39</v>
      </c>
    </row>
    <row r="201" spans="1:13" x14ac:dyDescent="0.3">
      <c r="A201" s="1" t="s">
        <v>585</v>
      </c>
      <c r="B201" s="2">
        <v>45952</v>
      </c>
      <c r="C201" s="1" t="s">
        <v>276</v>
      </c>
      <c r="D201" s="1" t="s">
        <v>277</v>
      </c>
      <c r="E201" s="1" t="s">
        <v>37</v>
      </c>
      <c r="F201" s="1" t="s">
        <v>25</v>
      </c>
      <c r="G201" s="1" t="s">
        <v>26</v>
      </c>
      <c r="H201" s="1" t="s">
        <v>86</v>
      </c>
      <c r="I201">
        <v>9</v>
      </c>
      <c r="J201">
        <v>16961.18</v>
      </c>
      <c r="K201">
        <v>0</v>
      </c>
      <c r="L201">
        <v>3689.43</v>
      </c>
      <c r="M201" s="1" t="s">
        <v>20</v>
      </c>
    </row>
    <row r="202" spans="1:13" x14ac:dyDescent="0.3">
      <c r="A202" s="1" t="s">
        <v>586</v>
      </c>
      <c r="B202" s="2">
        <v>45770</v>
      </c>
      <c r="C202" s="1" t="s">
        <v>587</v>
      </c>
      <c r="D202" s="1" t="s">
        <v>588</v>
      </c>
      <c r="E202" s="1" t="s">
        <v>37</v>
      </c>
      <c r="F202" s="1" t="s">
        <v>69</v>
      </c>
      <c r="G202" s="1" t="s">
        <v>32</v>
      </c>
      <c r="H202" s="1" t="s">
        <v>59</v>
      </c>
      <c r="I202">
        <v>8</v>
      </c>
      <c r="J202">
        <v>113912.95</v>
      </c>
      <c r="K202">
        <v>0.1</v>
      </c>
      <c r="L202">
        <v>28008.65</v>
      </c>
      <c r="M202" s="1" t="s">
        <v>28</v>
      </c>
    </row>
    <row r="203" spans="1:13" x14ac:dyDescent="0.3">
      <c r="A203" s="1" t="s">
        <v>589</v>
      </c>
      <c r="B203" s="2">
        <v>45758</v>
      </c>
      <c r="C203" s="1" t="s">
        <v>590</v>
      </c>
      <c r="D203" s="1" t="s">
        <v>591</v>
      </c>
      <c r="E203" s="1" t="s">
        <v>16</v>
      </c>
      <c r="F203" s="1" t="s">
        <v>25</v>
      </c>
      <c r="G203" s="1" t="s">
        <v>18</v>
      </c>
      <c r="H203" s="1" t="s">
        <v>97</v>
      </c>
      <c r="I203">
        <v>7</v>
      </c>
      <c r="J203">
        <v>11638.65</v>
      </c>
      <c r="K203">
        <v>0.1</v>
      </c>
      <c r="L203">
        <v>2915.11</v>
      </c>
      <c r="M203" s="1" t="s">
        <v>50</v>
      </c>
    </row>
    <row r="204" spans="1:13" x14ac:dyDescent="0.3">
      <c r="A204" s="1" t="s">
        <v>592</v>
      </c>
      <c r="B204" s="2">
        <v>45770</v>
      </c>
      <c r="C204" s="1" t="s">
        <v>326</v>
      </c>
      <c r="D204" s="1" t="s">
        <v>327</v>
      </c>
      <c r="E204" s="1" t="s">
        <v>16</v>
      </c>
      <c r="F204" s="1" t="s">
        <v>17</v>
      </c>
      <c r="G204" s="1" t="s">
        <v>32</v>
      </c>
      <c r="H204" s="1" t="s">
        <v>54</v>
      </c>
      <c r="I204">
        <v>9</v>
      </c>
      <c r="J204">
        <v>109448.2</v>
      </c>
      <c r="K204">
        <v>0.05</v>
      </c>
      <c r="L204">
        <v>28232.13</v>
      </c>
      <c r="M204" s="1" t="s">
        <v>55</v>
      </c>
    </row>
    <row r="205" spans="1:13" x14ac:dyDescent="0.3">
      <c r="A205" s="1" t="s">
        <v>593</v>
      </c>
      <c r="B205" s="2">
        <v>45738</v>
      </c>
      <c r="C205" s="1" t="s">
        <v>590</v>
      </c>
      <c r="D205" s="1" t="s">
        <v>591</v>
      </c>
      <c r="E205" s="1" t="s">
        <v>16</v>
      </c>
      <c r="F205" s="1" t="s">
        <v>25</v>
      </c>
      <c r="G205" s="1" t="s">
        <v>32</v>
      </c>
      <c r="H205" s="1" t="s">
        <v>54</v>
      </c>
      <c r="I205">
        <v>2</v>
      </c>
      <c r="J205">
        <v>33362.44</v>
      </c>
      <c r="K205">
        <v>0.1</v>
      </c>
      <c r="L205">
        <v>8423.31</v>
      </c>
      <c r="M205" s="1" t="s">
        <v>55</v>
      </c>
    </row>
    <row r="206" spans="1:13" x14ac:dyDescent="0.3">
      <c r="A206" s="1" t="s">
        <v>594</v>
      </c>
      <c r="B206" s="2">
        <v>45844</v>
      </c>
      <c r="C206" s="1" t="s">
        <v>595</v>
      </c>
      <c r="D206" s="1" t="s">
        <v>596</v>
      </c>
      <c r="E206" s="1" t="s">
        <v>74</v>
      </c>
      <c r="F206" s="1" t="s">
        <v>25</v>
      </c>
      <c r="G206" s="1" t="s">
        <v>18</v>
      </c>
      <c r="H206" s="1" t="s">
        <v>145</v>
      </c>
      <c r="I206">
        <v>5</v>
      </c>
      <c r="J206">
        <v>7628.77</v>
      </c>
      <c r="K206">
        <v>0.1</v>
      </c>
      <c r="L206">
        <v>2160.4899999999998</v>
      </c>
      <c r="M206" s="1" t="s">
        <v>50</v>
      </c>
    </row>
    <row r="207" spans="1:13" x14ac:dyDescent="0.3">
      <c r="A207" s="1" t="s">
        <v>597</v>
      </c>
      <c r="B207" s="2">
        <v>45770</v>
      </c>
      <c r="C207" s="1" t="s">
        <v>540</v>
      </c>
      <c r="D207" s="1" t="s">
        <v>541</v>
      </c>
      <c r="E207" s="1" t="s">
        <v>74</v>
      </c>
      <c r="F207" s="1" t="s">
        <v>17</v>
      </c>
      <c r="G207" s="1" t="s">
        <v>32</v>
      </c>
      <c r="H207" s="1" t="s">
        <v>59</v>
      </c>
      <c r="I207">
        <v>4</v>
      </c>
      <c r="J207">
        <v>43703.33</v>
      </c>
      <c r="K207">
        <v>0</v>
      </c>
      <c r="L207">
        <v>10617.05</v>
      </c>
      <c r="M207" s="1" t="s">
        <v>39</v>
      </c>
    </row>
    <row r="208" spans="1:13" x14ac:dyDescent="0.3">
      <c r="A208" s="1" t="s">
        <v>598</v>
      </c>
      <c r="B208" s="2">
        <v>45659</v>
      </c>
      <c r="C208" s="1" t="s">
        <v>205</v>
      </c>
      <c r="D208" s="1" t="s">
        <v>206</v>
      </c>
      <c r="E208" s="1" t="s">
        <v>74</v>
      </c>
      <c r="F208" s="1" t="s">
        <v>25</v>
      </c>
      <c r="G208" s="1" t="s">
        <v>32</v>
      </c>
      <c r="H208" s="1" t="s">
        <v>38</v>
      </c>
      <c r="I208">
        <v>7</v>
      </c>
      <c r="J208">
        <v>90915.07</v>
      </c>
      <c r="K208">
        <v>0.2</v>
      </c>
      <c r="L208">
        <v>22892.66</v>
      </c>
      <c r="M208" s="1" t="s">
        <v>28</v>
      </c>
    </row>
    <row r="209" spans="1:13" x14ac:dyDescent="0.3">
      <c r="A209" s="1" t="s">
        <v>599</v>
      </c>
      <c r="B209" s="2">
        <v>45787</v>
      </c>
      <c r="C209" s="1" t="s">
        <v>111</v>
      </c>
      <c r="D209" s="1" t="s">
        <v>112</v>
      </c>
      <c r="E209" s="1" t="s">
        <v>16</v>
      </c>
      <c r="F209" s="1" t="s">
        <v>25</v>
      </c>
      <c r="G209" s="1" t="s">
        <v>32</v>
      </c>
      <c r="H209" s="1" t="s">
        <v>33</v>
      </c>
      <c r="I209">
        <v>7</v>
      </c>
      <c r="J209">
        <v>64181.69</v>
      </c>
      <c r="K209">
        <v>0.15</v>
      </c>
      <c r="L209">
        <v>14392.56</v>
      </c>
      <c r="M209" s="1" t="s">
        <v>28</v>
      </c>
    </row>
    <row r="210" spans="1:13" x14ac:dyDescent="0.3">
      <c r="A210" s="1" t="s">
        <v>600</v>
      </c>
      <c r="B210" s="2">
        <v>45877</v>
      </c>
      <c r="C210" s="1" t="s">
        <v>601</v>
      </c>
      <c r="D210" s="1" t="s">
        <v>602</v>
      </c>
      <c r="E210" s="1" t="s">
        <v>43</v>
      </c>
      <c r="F210" s="1" t="s">
        <v>25</v>
      </c>
      <c r="G210" s="1" t="s">
        <v>18</v>
      </c>
      <c r="H210" s="1" t="s">
        <v>97</v>
      </c>
      <c r="I210">
        <v>9</v>
      </c>
      <c r="J210">
        <v>11275.52</v>
      </c>
      <c r="K210">
        <v>0.15</v>
      </c>
      <c r="L210">
        <v>3136.7</v>
      </c>
      <c r="M210" s="1" t="s">
        <v>55</v>
      </c>
    </row>
    <row r="211" spans="1:13" x14ac:dyDescent="0.3">
      <c r="A211" s="1" t="s">
        <v>603</v>
      </c>
      <c r="B211" s="2">
        <v>45711</v>
      </c>
      <c r="C211" s="1" t="s">
        <v>604</v>
      </c>
      <c r="D211" s="1" t="s">
        <v>605</v>
      </c>
      <c r="E211" s="1" t="s">
        <v>24</v>
      </c>
      <c r="F211" s="1" t="s">
        <v>69</v>
      </c>
      <c r="G211" s="1" t="s">
        <v>26</v>
      </c>
      <c r="H211" s="1" t="s">
        <v>49</v>
      </c>
      <c r="I211">
        <v>1</v>
      </c>
      <c r="J211">
        <v>3825.81</v>
      </c>
      <c r="K211">
        <v>0.05</v>
      </c>
      <c r="L211">
        <v>1137.19</v>
      </c>
      <c r="M211" s="1" t="s">
        <v>55</v>
      </c>
    </row>
    <row r="212" spans="1:13" x14ac:dyDescent="0.3">
      <c r="A212" s="1" t="s">
        <v>606</v>
      </c>
      <c r="B212" s="2">
        <v>46000</v>
      </c>
      <c r="C212" s="1" t="s">
        <v>35</v>
      </c>
      <c r="D212" s="1" t="s">
        <v>36</v>
      </c>
      <c r="E212" s="1" t="s">
        <v>43</v>
      </c>
      <c r="F212" s="1" t="s">
        <v>17</v>
      </c>
      <c r="G212" s="1" t="s">
        <v>32</v>
      </c>
      <c r="H212" s="1" t="s">
        <v>54</v>
      </c>
      <c r="I212">
        <v>7</v>
      </c>
      <c r="J212">
        <v>123521.60000000001</v>
      </c>
      <c r="K212">
        <v>0.1</v>
      </c>
      <c r="L212">
        <v>21379.83</v>
      </c>
      <c r="M212" s="1" t="s">
        <v>28</v>
      </c>
    </row>
    <row r="213" spans="1:13" x14ac:dyDescent="0.3">
      <c r="A213" s="1" t="s">
        <v>607</v>
      </c>
      <c r="B213" s="2">
        <v>45881</v>
      </c>
      <c r="C213" s="1" t="s">
        <v>485</v>
      </c>
      <c r="D213" s="1" t="s">
        <v>486</v>
      </c>
      <c r="E213" s="1" t="s">
        <v>24</v>
      </c>
      <c r="F213" s="1" t="s">
        <v>25</v>
      </c>
      <c r="G213" s="1" t="s">
        <v>32</v>
      </c>
      <c r="H213" s="1" t="s">
        <v>38</v>
      </c>
      <c r="I213">
        <v>1</v>
      </c>
      <c r="J213">
        <v>15196.98</v>
      </c>
      <c r="K213">
        <v>0.15</v>
      </c>
      <c r="L213">
        <v>4022.78</v>
      </c>
      <c r="M213" s="1" t="s">
        <v>55</v>
      </c>
    </row>
    <row r="214" spans="1:13" x14ac:dyDescent="0.3">
      <c r="A214" s="1" t="s">
        <v>608</v>
      </c>
      <c r="B214" s="2">
        <v>45882</v>
      </c>
      <c r="C214" s="1" t="s">
        <v>609</v>
      </c>
      <c r="D214" s="1" t="s">
        <v>610</v>
      </c>
      <c r="E214" s="1" t="s">
        <v>16</v>
      </c>
      <c r="F214" s="1" t="s">
        <v>25</v>
      </c>
      <c r="G214" s="1" t="s">
        <v>18</v>
      </c>
      <c r="H214" s="1" t="s">
        <v>122</v>
      </c>
      <c r="I214">
        <v>2</v>
      </c>
      <c r="J214">
        <v>1732.15</v>
      </c>
      <c r="K214">
        <v>0.15</v>
      </c>
      <c r="L214">
        <v>419.94</v>
      </c>
      <c r="M214" s="1" t="s">
        <v>20</v>
      </c>
    </row>
    <row r="215" spans="1:13" x14ac:dyDescent="0.3">
      <c r="A215" s="1" t="s">
        <v>611</v>
      </c>
      <c r="B215" s="2">
        <v>45783</v>
      </c>
      <c r="C215" s="1" t="s">
        <v>494</v>
      </c>
      <c r="D215" s="1" t="s">
        <v>495</v>
      </c>
      <c r="E215" s="1" t="s">
        <v>37</v>
      </c>
      <c r="F215" s="1" t="s">
        <v>25</v>
      </c>
      <c r="G215" s="1" t="s">
        <v>44</v>
      </c>
      <c r="H215" s="1" t="s">
        <v>155</v>
      </c>
      <c r="I215">
        <v>3</v>
      </c>
      <c r="J215">
        <v>32221.360000000001</v>
      </c>
      <c r="K215">
        <v>0.1</v>
      </c>
      <c r="L215">
        <v>5931.1</v>
      </c>
      <c r="M215" s="1" t="s">
        <v>55</v>
      </c>
    </row>
    <row r="216" spans="1:13" x14ac:dyDescent="0.3">
      <c r="A216" s="1" t="s">
        <v>612</v>
      </c>
      <c r="B216" s="2">
        <v>45787</v>
      </c>
      <c r="C216" s="1" t="s">
        <v>613</v>
      </c>
      <c r="D216" s="1" t="s">
        <v>614</v>
      </c>
      <c r="E216" s="1" t="s">
        <v>37</v>
      </c>
      <c r="F216" s="1" t="s">
        <v>69</v>
      </c>
      <c r="G216" s="1" t="s">
        <v>18</v>
      </c>
      <c r="H216" s="1" t="s">
        <v>145</v>
      </c>
      <c r="I216">
        <v>3</v>
      </c>
      <c r="J216">
        <v>4855.82</v>
      </c>
      <c r="K216">
        <v>0.05</v>
      </c>
      <c r="L216">
        <v>1537.01</v>
      </c>
      <c r="M216" s="1" t="s">
        <v>28</v>
      </c>
    </row>
    <row r="217" spans="1:13" x14ac:dyDescent="0.3">
      <c r="A217" s="1" t="s">
        <v>615</v>
      </c>
      <c r="B217" s="2">
        <v>45710</v>
      </c>
      <c r="C217" s="1" t="s">
        <v>211</v>
      </c>
      <c r="D217" s="1" t="s">
        <v>212</v>
      </c>
      <c r="E217" s="1" t="s">
        <v>24</v>
      </c>
      <c r="F217" s="1" t="s">
        <v>69</v>
      </c>
      <c r="G217" s="1" t="s">
        <v>18</v>
      </c>
      <c r="H217" s="1" t="s">
        <v>97</v>
      </c>
      <c r="I217">
        <v>5</v>
      </c>
      <c r="J217">
        <v>5029.22</v>
      </c>
      <c r="K217">
        <v>0.1</v>
      </c>
      <c r="L217">
        <v>1627.1</v>
      </c>
      <c r="M217" s="1" t="s">
        <v>20</v>
      </c>
    </row>
    <row r="218" spans="1:13" x14ac:dyDescent="0.3">
      <c r="A218" s="1" t="s">
        <v>616</v>
      </c>
      <c r="B218" s="2">
        <v>45829</v>
      </c>
      <c r="C218" s="1" t="s">
        <v>617</v>
      </c>
      <c r="D218" s="1" t="s">
        <v>618</v>
      </c>
      <c r="E218" s="1" t="s">
        <v>16</v>
      </c>
      <c r="F218" s="1" t="s">
        <v>25</v>
      </c>
      <c r="G218" s="1" t="s">
        <v>26</v>
      </c>
      <c r="H218" s="1" t="s">
        <v>231</v>
      </c>
      <c r="I218">
        <v>1</v>
      </c>
      <c r="J218">
        <v>3340.53</v>
      </c>
      <c r="K218">
        <v>0.05</v>
      </c>
      <c r="L218">
        <v>770.59</v>
      </c>
      <c r="M218" s="1" t="s">
        <v>55</v>
      </c>
    </row>
    <row r="219" spans="1:13" x14ac:dyDescent="0.3">
      <c r="A219" s="1" t="s">
        <v>619</v>
      </c>
      <c r="B219" s="2">
        <v>45875</v>
      </c>
      <c r="C219" s="1" t="s">
        <v>482</v>
      </c>
      <c r="D219" s="1" t="s">
        <v>483</v>
      </c>
      <c r="E219" s="1" t="s">
        <v>74</v>
      </c>
      <c r="F219" s="1" t="s">
        <v>69</v>
      </c>
      <c r="G219" s="1" t="s">
        <v>44</v>
      </c>
      <c r="H219" s="1" t="s">
        <v>90</v>
      </c>
      <c r="I219">
        <v>6</v>
      </c>
      <c r="J219">
        <v>40892.85</v>
      </c>
      <c r="K219">
        <v>0.1</v>
      </c>
      <c r="L219">
        <v>5659.24</v>
      </c>
      <c r="M219" s="1" t="s">
        <v>55</v>
      </c>
    </row>
    <row r="220" spans="1:13" x14ac:dyDescent="0.3">
      <c r="A220" s="1" t="s">
        <v>620</v>
      </c>
      <c r="B220" s="2">
        <v>45817</v>
      </c>
      <c r="C220" s="1" t="s">
        <v>621</v>
      </c>
      <c r="D220" s="1" t="s">
        <v>622</v>
      </c>
      <c r="E220" s="1" t="s">
        <v>24</v>
      </c>
      <c r="F220" s="1" t="s">
        <v>25</v>
      </c>
      <c r="G220" s="1" t="s">
        <v>44</v>
      </c>
      <c r="H220" s="1" t="s">
        <v>70</v>
      </c>
      <c r="I220">
        <v>4</v>
      </c>
      <c r="J220">
        <v>39453.78</v>
      </c>
      <c r="K220">
        <v>0.15</v>
      </c>
      <c r="L220">
        <v>5914.09</v>
      </c>
      <c r="M220" s="1" t="s">
        <v>55</v>
      </c>
    </row>
    <row r="221" spans="1:13" x14ac:dyDescent="0.3">
      <c r="A221" s="1" t="s">
        <v>623</v>
      </c>
      <c r="B221" s="2">
        <v>45855</v>
      </c>
      <c r="C221" s="1" t="s">
        <v>624</v>
      </c>
      <c r="D221" s="1" t="s">
        <v>625</v>
      </c>
      <c r="E221" s="1" t="s">
        <v>43</v>
      </c>
      <c r="F221" s="1" t="s">
        <v>25</v>
      </c>
      <c r="G221" s="1" t="s">
        <v>44</v>
      </c>
      <c r="H221" s="1" t="s">
        <v>75</v>
      </c>
      <c r="I221">
        <v>9</v>
      </c>
      <c r="J221">
        <v>130846.53</v>
      </c>
      <c r="K221">
        <v>0</v>
      </c>
      <c r="L221">
        <v>23797.07</v>
      </c>
      <c r="M221" s="1" t="s">
        <v>28</v>
      </c>
    </row>
    <row r="222" spans="1:13" x14ac:dyDescent="0.3">
      <c r="A222" s="1" t="s">
        <v>626</v>
      </c>
      <c r="B222" s="2">
        <v>45904</v>
      </c>
      <c r="C222" s="1" t="s">
        <v>130</v>
      </c>
      <c r="D222" s="1" t="s">
        <v>131</v>
      </c>
      <c r="E222" s="1" t="s">
        <v>43</v>
      </c>
      <c r="F222" s="1" t="s">
        <v>69</v>
      </c>
      <c r="G222" s="1" t="s">
        <v>26</v>
      </c>
      <c r="H222" s="1" t="s">
        <v>244</v>
      </c>
      <c r="I222">
        <v>10</v>
      </c>
      <c r="J222">
        <v>34418.370000000003</v>
      </c>
      <c r="K222">
        <v>0.05</v>
      </c>
      <c r="L222">
        <v>8672.41</v>
      </c>
      <c r="M222" s="1" t="s">
        <v>28</v>
      </c>
    </row>
    <row r="223" spans="1:13" x14ac:dyDescent="0.3">
      <c r="A223" s="1" t="s">
        <v>627</v>
      </c>
      <c r="B223" s="2">
        <v>45981</v>
      </c>
      <c r="C223" s="1" t="s">
        <v>628</v>
      </c>
      <c r="D223" s="1" t="s">
        <v>629</v>
      </c>
      <c r="E223" s="1" t="s">
        <v>43</v>
      </c>
      <c r="F223" s="1" t="s">
        <v>69</v>
      </c>
      <c r="G223" s="1" t="s">
        <v>44</v>
      </c>
      <c r="H223" s="1" t="s">
        <v>155</v>
      </c>
      <c r="I223">
        <v>8</v>
      </c>
      <c r="J223">
        <v>68785.100000000006</v>
      </c>
      <c r="K223">
        <v>0.25</v>
      </c>
      <c r="L223">
        <v>13094.19</v>
      </c>
      <c r="M223" s="1" t="s">
        <v>28</v>
      </c>
    </row>
    <row r="224" spans="1:13" x14ac:dyDescent="0.3">
      <c r="A224" s="1" t="s">
        <v>630</v>
      </c>
      <c r="B224" s="2">
        <v>45860</v>
      </c>
      <c r="C224" s="1" t="s">
        <v>398</v>
      </c>
      <c r="D224" s="1" t="s">
        <v>399</v>
      </c>
      <c r="E224" s="1" t="s">
        <v>16</v>
      </c>
      <c r="F224" s="1" t="s">
        <v>25</v>
      </c>
      <c r="G224" s="1" t="s">
        <v>32</v>
      </c>
      <c r="H224" s="1" t="s">
        <v>38</v>
      </c>
      <c r="I224">
        <v>3</v>
      </c>
      <c r="J224">
        <v>41899.26</v>
      </c>
      <c r="K224">
        <v>0.15</v>
      </c>
      <c r="L224">
        <v>8243.27</v>
      </c>
      <c r="M224" s="1" t="s">
        <v>28</v>
      </c>
    </row>
    <row r="225" spans="1:13" x14ac:dyDescent="0.3">
      <c r="A225" s="1" t="s">
        <v>631</v>
      </c>
      <c r="B225" s="2">
        <v>45841</v>
      </c>
      <c r="C225" s="1" t="s">
        <v>632</v>
      </c>
      <c r="D225" s="1" t="s">
        <v>633</v>
      </c>
      <c r="E225" s="1" t="s">
        <v>24</v>
      </c>
      <c r="F225" s="1" t="s">
        <v>25</v>
      </c>
      <c r="G225" s="1" t="s">
        <v>26</v>
      </c>
      <c r="H225" s="1" t="s">
        <v>231</v>
      </c>
      <c r="I225">
        <v>4</v>
      </c>
      <c r="J225">
        <v>10233.91</v>
      </c>
      <c r="K225">
        <v>0</v>
      </c>
      <c r="L225">
        <v>2224.94</v>
      </c>
      <c r="M225" s="1" t="s">
        <v>28</v>
      </c>
    </row>
    <row r="226" spans="1:13" x14ac:dyDescent="0.3">
      <c r="A226" s="1" t="s">
        <v>634</v>
      </c>
      <c r="B226" s="2">
        <v>45780</v>
      </c>
      <c r="C226" s="1" t="s">
        <v>550</v>
      </c>
      <c r="D226" s="1" t="s">
        <v>551</v>
      </c>
      <c r="E226" s="1" t="s">
        <v>37</v>
      </c>
      <c r="F226" s="1" t="s">
        <v>25</v>
      </c>
      <c r="G226" s="1" t="s">
        <v>18</v>
      </c>
      <c r="H226" s="1" t="s">
        <v>145</v>
      </c>
      <c r="I226">
        <v>5</v>
      </c>
      <c r="J226">
        <v>5757.64</v>
      </c>
      <c r="K226">
        <v>0.15</v>
      </c>
      <c r="L226">
        <v>1727.95</v>
      </c>
      <c r="M226" s="1" t="s">
        <v>50</v>
      </c>
    </row>
    <row r="227" spans="1:13" x14ac:dyDescent="0.3">
      <c r="A227" s="1" t="s">
        <v>635</v>
      </c>
      <c r="B227" s="2">
        <v>45912</v>
      </c>
      <c r="C227" s="1" t="s">
        <v>160</v>
      </c>
      <c r="D227" s="1" t="s">
        <v>161</v>
      </c>
      <c r="E227" s="1" t="s">
        <v>24</v>
      </c>
      <c r="F227" s="1" t="s">
        <v>69</v>
      </c>
      <c r="G227" s="1" t="s">
        <v>18</v>
      </c>
      <c r="H227" s="1" t="s">
        <v>141</v>
      </c>
      <c r="I227">
        <v>9</v>
      </c>
      <c r="J227">
        <v>12153.09</v>
      </c>
      <c r="K227">
        <v>0.25</v>
      </c>
      <c r="L227">
        <v>3280.16</v>
      </c>
      <c r="M227" s="1" t="s">
        <v>20</v>
      </c>
    </row>
    <row r="228" spans="1:13" x14ac:dyDescent="0.3">
      <c r="A228" s="1" t="s">
        <v>636</v>
      </c>
      <c r="B228" s="2">
        <v>45951</v>
      </c>
      <c r="C228" s="1" t="s">
        <v>637</v>
      </c>
      <c r="D228" s="1" t="s">
        <v>638</v>
      </c>
      <c r="E228" s="1" t="s">
        <v>43</v>
      </c>
      <c r="F228" s="1" t="s">
        <v>25</v>
      </c>
      <c r="G228" s="1" t="s">
        <v>32</v>
      </c>
      <c r="H228" s="1" t="s">
        <v>33</v>
      </c>
      <c r="I228">
        <v>3</v>
      </c>
      <c r="J228">
        <v>60482.400000000001</v>
      </c>
      <c r="K228">
        <v>0</v>
      </c>
      <c r="L228">
        <v>15164.08</v>
      </c>
      <c r="M228" s="1" t="s">
        <v>20</v>
      </c>
    </row>
    <row r="229" spans="1:13" x14ac:dyDescent="0.3">
      <c r="A229" s="1" t="s">
        <v>639</v>
      </c>
      <c r="B229" s="2">
        <v>45937</v>
      </c>
      <c r="C229" s="1" t="s">
        <v>229</v>
      </c>
      <c r="D229" s="1" t="s">
        <v>230</v>
      </c>
      <c r="E229" s="1" t="s">
        <v>37</v>
      </c>
      <c r="F229" s="1" t="s">
        <v>25</v>
      </c>
      <c r="G229" s="1" t="s">
        <v>26</v>
      </c>
      <c r="H229" s="1" t="s">
        <v>231</v>
      </c>
      <c r="I229">
        <v>8</v>
      </c>
      <c r="J229">
        <v>17952.12</v>
      </c>
      <c r="K229">
        <v>0.1</v>
      </c>
      <c r="L229">
        <v>4794.43</v>
      </c>
      <c r="M229" s="1" t="s">
        <v>50</v>
      </c>
    </row>
    <row r="230" spans="1:13" x14ac:dyDescent="0.3">
      <c r="A230" s="1" t="s">
        <v>640</v>
      </c>
      <c r="B230" s="2">
        <v>45982</v>
      </c>
      <c r="C230" s="1" t="s">
        <v>434</v>
      </c>
      <c r="D230" s="1" t="s">
        <v>435</v>
      </c>
      <c r="E230" s="1" t="s">
        <v>16</v>
      </c>
      <c r="F230" s="1" t="s">
        <v>17</v>
      </c>
      <c r="G230" s="1" t="s">
        <v>32</v>
      </c>
      <c r="H230" s="1" t="s">
        <v>33</v>
      </c>
      <c r="I230">
        <v>1</v>
      </c>
      <c r="J230">
        <v>10166.61</v>
      </c>
      <c r="K230">
        <v>0.05</v>
      </c>
      <c r="L230">
        <v>1980.01</v>
      </c>
      <c r="M230" s="1" t="s">
        <v>28</v>
      </c>
    </row>
    <row r="231" spans="1:13" x14ac:dyDescent="0.3">
      <c r="A231" s="1" t="s">
        <v>641</v>
      </c>
      <c r="B231" s="2">
        <v>45755</v>
      </c>
      <c r="C231" s="1" t="s">
        <v>130</v>
      </c>
      <c r="D231" s="1" t="s">
        <v>131</v>
      </c>
      <c r="E231" s="1" t="s">
        <v>37</v>
      </c>
      <c r="F231" s="1" t="s">
        <v>69</v>
      </c>
      <c r="G231" s="1" t="s">
        <v>18</v>
      </c>
      <c r="H231" s="1" t="s">
        <v>19</v>
      </c>
      <c r="I231">
        <v>2</v>
      </c>
      <c r="J231">
        <v>2987.93</v>
      </c>
      <c r="K231">
        <v>0.1</v>
      </c>
      <c r="L231">
        <v>951.64</v>
      </c>
      <c r="M231" s="1" t="s">
        <v>55</v>
      </c>
    </row>
    <row r="232" spans="1:13" x14ac:dyDescent="0.3">
      <c r="A232" s="1" t="s">
        <v>642</v>
      </c>
      <c r="B232" s="2">
        <v>45855</v>
      </c>
      <c r="C232" s="1" t="s">
        <v>643</v>
      </c>
      <c r="D232" s="1" t="s">
        <v>644</v>
      </c>
      <c r="E232" s="1" t="s">
        <v>24</v>
      </c>
      <c r="F232" s="1" t="s">
        <v>25</v>
      </c>
      <c r="G232" s="1" t="s">
        <v>18</v>
      </c>
      <c r="H232" s="1" t="s">
        <v>145</v>
      </c>
      <c r="I232">
        <v>7</v>
      </c>
      <c r="J232">
        <v>14604.98</v>
      </c>
      <c r="K232">
        <v>0.1</v>
      </c>
      <c r="L232">
        <v>3459.13</v>
      </c>
      <c r="M232" s="1" t="s">
        <v>55</v>
      </c>
    </row>
    <row r="233" spans="1:13" x14ac:dyDescent="0.3">
      <c r="A233" s="1" t="s">
        <v>645</v>
      </c>
      <c r="B233" s="2">
        <v>45897</v>
      </c>
      <c r="C233" s="1" t="s">
        <v>628</v>
      </c>
      <c r="D233" s="1" t="s">
        <v>629</v>
      </c>
      <c r="E233" s="1" t="s">
        <v>16</v>
      </c>
      <c r="F233" s="1" t="s">
        <v>25</v>
      </c>
      <c r="G233" s="1" t="s">
        <v>26</v>
      </c>
      <c r="H233" s="1" t="s">
        <v>231</v>
      </c>
      <c r="I233">
        <v>1</v>
      </c>
      <c r="J233">
        <v>3931.34</v>
      </c>
      <c r="K233">
        <v>0.15</v>
      </c>
      <c r="L233">
        <v>1095.82</v>
      </c>
      <c r="M233" s="1" t="s">
        <v>55</v>
      </c>
    </row>
    <row r="234" spans="1:13" x14ac:dyDescent="0.3">
      <c r="A234" s="1" t="s">
        <v>646</v>
      </c>
      <c r="B234" s="2">
        <v>45801</v>
      </c>
      <c r="C234" s="1" t="s">
        <v>604</v>
      </c>
      <c r="D234" s="1" t="s">
        <v>605</v>
      </c>
      <c r="E234" s="1" t="s">
        <v>43</v>
      </c>
      <c r="F234" s="1" t="s">
        <v>69</v>
      </c>
      <c r="G234" s="1" t="s">
        <v>44</v>
      </c>
      <c r="H234" s="1" t="s">
        <v>70</v>
      </c>
      <c r="I234">
        <v>8</v>
      </c>
      <c r="J234">
        <v>64118.44</v>
      </c>
      <c r="K234">
        <v>0.15</v>
      </c>
      <c r="L234">
        <v>14338.68</v>
      </c>
      <c r="M234" s="1" t="s">
        <v>28</v>
      </c>
    </row>
    <row r="235" spans="1:13" x14ac:dyDescent="0.3">
      <c r="A235" s="1" t="s">
        <v>647</v>
      </c>
      <c r="B235" s="2">
        <v>45754</v>
      </c>
      <c r="C235" s="1" t="s">
        <v>648</v>
      </c>
      <c r="D235" s="1" t="s">
        <v>649</v>
      </c>
      <c r="E235" s="1" t="s">
        <v>16</v>
      </c>
      <c r="F235" s="1" t="s">
        <v>25</v>
      </c>
      <c r="G235" s="1" t="s">
        <v>26</v>
      </c>
      <c r="H235" s="1" t="s">
        <v>231</v>
      </c>
      <c r="I235">
        <v>6</v>
      </c>
      <c r="J235">
        <v>20210.52</v>
      </c>
      <c r="K235">
        <v>0</v>
      </c>
      <c r="L235">
        <v>5034.63</v>
      </c>
      <c r="M235" s="1" t="s">
        <v>39</v>
      </c>
    </row>
    <row r="236" spans="1:13" x14ac:dyDescent="0.3">
      <c r="A236" s="1" t="s">
        <v>650</v>
      </c>
      <c r="B236" s="2">
        <v>45858</v>
      </c>
      <c r="C236" s="1" t="s">
        <v>488</v>
      </c>
      <c r="D236" s="1" t="s">
        <v>489</v>
      </c>
      <c r="E236" s="1" t="s">
        <v>74</v>
      </c>
      <c r="F236" s="1" t="s">
        <v>25</v>
      </c>
      <c r="G236" s="1" t="s">
        <v>32</v>
      </c>
      <c r="H236" s="1" t="s">
        <v>54</v>
      </c>
      <c r="I236">
        <v>5</v>
      </c>
      <c r="J236">
        <v>74845.25</v>
      </c>
      <c r="K236">
        <v>0.2</v>
      </c>
      <c r="L236">
        <v>18312.96</v>
      </c>
      <c r="M236" s="1" t="s">
        <v>50</v>
      </c>
    </row>
    <row r="237" spans="1:13" x14ac:dyDescent="0.3">
      <c r="A237" s="1" t="s">
        <v>651</v>
      </c>
      <c r="B237" s="2">
        <v>45781</v>
      </c>
      <c r="C237" s="1" t="s">
        <v>652</v>
      </c>
      <c r="D237" s="1" t="s">
        <v>653</v>
      </c>
      <c r="E237" s="1" t="s">
        <v>24</v>
      </c>
      <c r="F237" s="1" t="s">
        <v>69</v>
      </c>
      <c r="G237" s="1" t="s">
        <v>26</v>
      </c>
      <c r="H237" s="1" t="s">
        <v>231</v>
      </c>
      <c r="I237">
        <v>4</v>
      </c>
      <c r="J237">
        <v>16986.939999999999</v>
      </c>
      <c r="K237">
        <v>0.1</v>
      </c>
      <c r="L237">
        <v>4337.41</v>
      </c>
      <c r="M237" s="1" t="s">
        <v>28</v>
      </c>
    </row>
    <row r="238" spans="1:13" x14ac:dyDescent="0.3">
      <c r="A238" s="1" t="s">
        <v>654</v>
      </c>
      <c r="B238" s="2">
        <v>45844</v>
      </c>
      <c r="C238" s="1" t="s">
        <v>655</v>
      </c>
      <c r="D238" s="1" t="s">
        <v>656</v>
      </c>
      <c r="E238" s="1" t="s">
        <v>74</v>
      </c>
      <c r="F238" s="1" t="s">
        <v>17</v>
      </c>
      <c r="G238" s="1" t="s">
        <v>44</v>
      </c>
      <c r="H238" s="1" t="s">
        <v>155</v>
      </c>
      <c r="I238">
        <v>7</v>
      </c>
      <c r="J238">
        <v>40754.400000000001</v>
      </c>
      <c r="K238">
        <v>0.2</v>
      </c>
      <c r="L238">
        <v>8502.83</v>
      </c>
      <c r="M238" s="1" t="s">
        <v>50</v>
      </c>
    </row>
    <row r="239" spans="1:13" x14ac:dyDescent="0.3">
      <c r="A239" s="1" t="s">
        <v>657</v>
      </c>
      <c r="B239" s="2">
        <v>45983</v>
      </c>
      <c r="C239" s="1" t="s">
        <v>658</v>
      </c>
      <c r="D239" s="1" t="s">
        <v>659</v>
      </c>
      <c r="E239" s="1" t="s">
        <v>24</v>
      </c>
      <c r="F239" s="1" t="s">
        <v>25</v>
      </c>
      <c r="G239" s="1" t="s">
        <v>18</v>
      </c>
      <c r="H239" s="1" t="s">
        <v>97</v>
      </c>
      <c r="I239">
        <v>5</v>
      </c>
      <c r="J239">
        <v>13082.03</v>
      </c>
      <c r="K239">
        <v>0</v>
      </c>
      <c r="L239">
        <v>4093.2</v>
      </c>
      <c r="M239" s="1" t="s">
        <v>55</v>
      </c>
    </row>
    <row r="240" spans="1:13" x14ac:dyDescent="0.3">
      <c r="A240" s="1" t="s">
        <v>660</v>
      </c>
      <c r="B240" s="2">
        <v>46006</v>
      </c>
      <c r="C240" s="1" t="s">
        <v>661</v>
      </c>
      <c r="D240" s="1" t="s">
        <v>662</v>
      </c>
      <c r="E240" s="1" t="s">
        <v>37</v>
      </c>
      <c r="F240" s="1" t="s">
        <v>69</v>
      </c>
      <c r="G240" s="1" t="s">
        <v>18</v>
      </c>
      <c r="H240" s="1" t="s">
        <v>145</v>
      </c>
      <c r="I240">
        <v>9</v>
      </c>
      <c r="J240">
        <v>8668.43</v>
      </c>
      <c r="K240">
        <v>0.05</v>
      </c>
      <c r="L240">
        <v>2391.7800000000002</v>
      </c>
      <c r="M240" s="1" t="s">
        <v>55</v>
      </c>
    </row>
    <row r="241" spans="1:13" x14ac:dyDescent="0.3">
      <c r="A241" s="1" t="s">
        <v>663</v>
      </c>
      <c r="B241" s="2">
        <v>45916</v>
      </c>
      <c r="C241" s="1" t="s">
        <v>326</v>
      </c>
      <c r="D241" s="1" t="s">
        <v>327</v>
      </c>
      <c r="E241" s="1" t="s">
        <v>24</v>
      </c>
      <c r="F241" s="1" t="s">
        <v>25</v>
      </c>
      <c r="G241" s="1" t="s">
        <v>44</v>
      </c>
      <c r="H241" s="1" t="s">
        <v>75</v>
      </c>
      <c r="I241">
        <v>7</v>
      </c>
      <c r="J241">
        <v>31201.360000000001</v>
      </c>
      <c r="K241">
        <v>0.15</v>
      </c>
      <c r="L241">
        <v>6341.37</v>
      </c>
      <c r="M241" s="1" t="s">
        <v>55</v>
      </c>
    </row>
    <row r="242" spans="1:13" x14ac:dyDescent="0.3">
      <c r="A242" s="1" t="s">
        <v>664</v>
      </c>
      <c r="B242" s="2">
        <v>45805</v>
      </c>
      <c r="C242" s="1" t="s">
        <v>665</v>
      </c>
      <c r="D242" s="1" t="s">
        <v>666</v>
      </c>
      <c r="E242" s="1" t="s">
        <v>43</v>
      </c>
      <c r="F242" s="1" t="s">
        <v>25</v>
      </c>
      <c r="G242" s="1" t="s">
        <v>32</v>
      </c>
      <c r="H242" s="1" t="s">
        <v>33</v>
      </c>
      <c r="I242">
        <v>3</v>
      </c>
      <c r="J242">
        <v>29920.09</v>
      </c>
      <c r="K242">
        <v>0.1</v>
      </c>
      <c r="L242">
        <v>5401.61</v>
      </c>
      <c r="M242" s="1" t="s">
        <v>28</v>
      </c>
    </row>
    <row r="243" spans="1:13" x14ac:dyDescent="0.3">
      <c r="A243" s="1" t="s">
        <v>667</v>
      </c>
      <c r="B243" s="2">
        <v>45909</v>
      </c>
      <c r="C243" s="1" t="s">
        <v>668</v>
      </c>
      <c r="D243" s="1" t="s">
        <v>669</v>
      </c>
      <c r="E243" s="1" t="s">
        <v>37</v>
      </c>
      <c r="F243" s="1" t="s">
        <v>25</v>
      </c>
      <c r="G243" s="1" t="s">
        <v>18</v>
      </c>
      <c r="H243" s="1" t="s">
        <v>122</v>
      </c>
      <c r="I243">
        <v>6</v>
      </c>
      <c r="J243">
        <v>6233.39</v>
      </c>
      <c r="K243">
        <v>0.25</v>
      </c>
      <c r="L243">
        <v>1817.84</v>
      </c>
      <c r="M243" s="1" t="s">
        <v>50</v>
      </c>
    </row>
    <row r="244" spans="1:13" x14ac:dyDescent="0.3">
      <c r="A244" s="1" t="s">
        <v>670</v>
      </c>
      <c r="B244" s="2">
        <v>46003</v>
      </c>
      <c r="C244" s="1" t="s">
        <v>671</v>
      </c>
      <c r="D244" s="1" t="s">
        <v>672</v>
      </c>
      <c r="E244" s="1" t="s">
        <v>43</v>
      </c>
      <c r="F244" s="1" t="s">
        <v>69</v>
      </c>
      <c r="G244" s="1" t="s">
        <v>18</v>
      </c>
      <c r="H244" s="1" t="s">
        <v>141</v>
      </c>
      <c r="I244">
        <v>1</v>
      </c>
      <c r="J244">
        <v>1220.94</v>
      </c>
      <c r="K244">
        <v>0.1</v>
      </c>
      <c r="L244">
        <v>347.56</v>
      </c>
      <c r="M244" s="1" t="s">
        <v>50</v>
      </c>
    </row>
    <row r="245" spans="1:13" x14ac:dyDescent="0.3">
      <c r="A245" s="1" t="s">
        <v>673</v>
      </c>
      <c r="B245" s="2">
        <v>45804</v>
      </c>
      <c r="C245" s="1" t="s">
        <v>674</v>
      </c>
      <c r="D245" s="1" t="s">
        <v>675</v>
      </c>
      <c r="E245" s="1" t="s">
        <v>74</v>
      </c>
      <c r="F245" s="1" t="s">
        <v>69</v>
      </c>
      <c r="G245" s="1" t="s">
        <v>32</v>
      </c>
      <c r="H245" s="1" t="s">
        <v>59</v>
      </c>
      <c r="I245">
        <v>7</v>
      </c>
      <c r="J245">
        <v>57713.74</v>
      </c>
      <c r="K245">
        <v>0.15</v>
      </c>
      <c r="L245">
        <v>11001.69</v>
      </c>
      <c r="M245" s="1" t="s">
        <v>55</v>
      </c>
    </row>
    <row r="246" spans="1:13" x14ac:dyDescent="0.3">
      <c r="A246" s="1" t="s">
        <v>676</v>
      </c>
      <c r="B246" s="2">
        <v>45805</v>
      </c>
      <c r="C246" s="1" t="s">
        <v>193</v>
      </c>
      <c r="D246" s="1" t="s">
        <v>194</v>
      </c>
      <c r="E246" s="1" t="s">
        <v>24</v>
      </c>
      <c r="F246" s="1" t="s">
        <v>17</v>
      </c>
      <c r="G246" s="1" t="s">
        <v>26</v>
      </c>
      <c r="H246" s="1" t="s">
        <v>27</v>
      </c>
      <c r="I246">
        <v>1</v>
      </c>
      <c r="J246">
        <v>2973.02</v>
      </c>
      <c r="K246">
        <v>0.2</v>
      </c>
      <c r="L246">
        <v>794.76</v>
      </c>
      <c r="M246" s="1" t="s">
        <v>55</v>
      </c>
    </row>
    <row r="247" spans="1:13" x14ac:dyDescent="0.3">
      <c r="A247" s="1" t="s">
        <v>677</v>
      </c>
      <c r="B247" s="2">
        <v>46009</v>
      </c>
      <c r="C247" s="1" t="s">
        <v>285</v>
      </c>
      <c r="D247" s="1" t="s">
        <v>286</v>
      </c>
      <c r="E247" s="1" t="s">
        <v>24</v>
      </c>
      <c r="F247" s="1" t="s">
        <v>25</v>
      </c>
      <c r="G247" s="1" t="s">
        <v>26</v>
      </c>
      <c r="H247" s="1" t="s">
        <v>231</v>
      </c>
      <c r="I247">
        <v>6</v>
      </c>
      <c r="J247">
        <v>22005.11</v>
      </c>
      <c r="K247">
        <v>0.1</v>
      </c>
      <c r="L247">
        <v>6240.91</v>
      </c>
      <c r="M247" s="1" t="s">
        <v>20</v>
      </c>
    </row>
    <row r="248" spans="1:13" x14ac:dyDescent="0.3">
      <c r="A248" s="1" t="s">
        <v>678</v>
      </c>
      <c r="B248" s="2">
        <v>45856</v>
      </c>
      <c r="C248" s="1" t="s">
        <v>679</v>
      </c>
      <c r="D248" s="1" t="s">
        <v>680</v>
      </c>
      <c r="E248" s="1" t="s">
        <v>24</v>
      </c>
      <c r="F248" s="1" t="s">
        <v>25</v>
      </c>
      <c r="G248" s="1" t="s">
        <v>26</v>
      </c>
      <c r="H248" s="1" t="s">
        <v>231</v>
      </c>
      <c r="I248">
        <v>7</v>
      </c>
      <c r="J248">
        <v>21307.54</v>
      </c>
      <c r="K248">
        <v>0.05</v>
      </c>
      <c r="L248">
        <v>6083.25</v>
      </c>
      <c r="M248" s="1" t="s">
        <v>20</v>
      </c>
    </row>
    <row r="249" spans="1:13" x14ac:dyDescent="0.3">
      <c r="A249" s="1" t="s">
        <v>681</v>
      </c>
      <c r="B249" s="2">
        <v>45965</v>
      </c>
      <c r="C249" s="1" t="s">
        <v>682</v>
      </c>
      <c r="D249" s="1" t="s">
        <v>683</v>
      </c>
      <c r="E249" s="1" t="s">
        <v>43</v>
      </c>
      <c r="F249" s="1" t="s">
        <v>69</v>
      </c>
      <c r="G249" s="1" t="s">
        <v>18</v>
      </c>
      <c r="H249" s="1" t="s">
        <v>145</v>
      </c>
      <c r="I249">
        <v>3</v>
      </c>
      <c r="J249">
        <v>4262.42</v>
      </c>
      <c r="K249">
        <v>0.05</v>
      </c>
      <c r="L249">
        <v>998.25</v>
      </c>
      <c r="M249" s="1" t="s">
        <v>55</v>
      </c>
    </row>
    <row r="250" spans="1:13" x14ac:dyDescent="0.3">
      <c r="A250" s="1" t="s">
        <v>684</v>
      </c>
      <c r="B250" s="2">
        <v>45785</v>
      </c>
      <c r="C250" s="1" t="s">
        <v>685</v>
      </c>
      <c r="D250" s="1" t="s">
        <v>686</v>
      </c>
      <c r="E250" s="1" t="s">
        <v>24</v>
      </c>
      <c r="F250" s="1" t="s">
        <v>25</v>
      </c>
      <c r="G250" s="1" t="s">
        <v>32</v>
      </c>
      <c r="H250" s="1" t="s">
        <v>38</v>
      </c>
      <c r="I250">
        <v>1</v>
      </c>
      <c r="J250">
        <v>7863.73</v>
      </c>
      <c r="K250">
        <v>0.1</v>
      </c>
      <c r="L250">
        <v>1968.93</v>
      </c>
      <c r="M250" s="1" t="s">
        <v>55</v>
      </c>
    </row>
    <row r="251" spans="1:13" x14ac:dyDescent="0.3">
      <c r="A251" s="1" t="s">
        <v>687</v>
      </c>
      <c r="B251" s="2">
        <v>45696</v>
      </c>
      <c r="C251" s="1" t="s">
        <v>507</v>
      </c>
      <c r="D251" s="1" t="s">
        <v>508</v>
      </c>
      <c r="E251" s="1" t="s">
        <v>37</v>
      </c>
      <c r="F251" s="1" t="s">
        <v>25</v>
      </c>
      <c r="G251" s="1" t="s">
        <v>26</v>
      </c>
      <c r="H251" s="1" t="s">
        <v>231</v>
      </c>
      <c r="I251">
        <v>3</v>
      </c>
      <c r="J251">
        <v>7780.5</v>
      </c>
      <c r="K251">
        <v>0.1</v>
      </c>
      <c r="L251">
        <v>1609.56</v>
      </c>
      <c r="M251" s="1" t="s">
        <v>55</v>
      </c>
    </row>
    <row r="252" spans="1:13" x14ac:dyDescent="0.3">
      <c r="A252" s="1" t="s">
        <v>688</v>
      </c>
      <c r="B252" s="2">
        <v>45995</v>
      </c>
      <c r="C252" s="1" t="s">
        <v>689</v>
      </c>
      <c r="D252" s="1" t="s">
        <v>690</v>
      </c>
      <c r="E252" s="1" t="s">
        <v>37</v>
      </c>
      <c r="F252" s="1" t="s">
        <v>69</v>
      </c>
      <c r="G252" s="1" t="s">
        <v>18</v>
      </c>
      <c r="H252" s="1" t="s">
        <v>122</v>
      </c>
      <c r="I252">
        <v>2</v>
      </c>
      <c r="J252">
        <v>3925.86</v>
      </c>
      <c r="K252">
        <v>0.1</v>
      </c>
      <c r="L252">
        <v>905.03</v>
      </c>
      <c r="M252" s="1" t="s">
        <v>20</v>
      </c>
    </row>
    <row r="253" spans="1:13" x14ac:dyDescent="0.3">
      <c r="A253" s="1" t="s">
        <v>691</v>
      </c>
      <c r="B253" s="2">
        <v>46017</v>
      </c>
      <c r="C253" s="1" t="s">
        <v>692</v>
      </c>
      <c r="D253" s="1" t="s">
        <v>693</v>
      </c>
      <c r="E253" s="1" t="s">
        <v>43</v>
      </c>
      <c r="F253" s="1" t="s">
        <v>25</v>
      </c>
      <c r="G253" s="1" t="s">
        <v>44</v>
      </c>
      <c r="H253" s="1" t="s">
        <v>90</v>
      </c>
      <c r="I253">
        <v>5</v>
      </c>
      <c r="J253">
        <v>45788.38</v>
      </c>
      <c r="K253">
        <v>0.1</v>
      </c>
      <c r="L253">
        <v>9054.5300000000007</v>
      </c>
      <c r="M253" s="1" t="s">
        <v>20</v>
      </c>
    </row>
    <row r="254" spans="1:13" x14ac:dyDescent="0.3">
      <c r="A254" s="1" t="s">
        <v>694</v>
      </c>
      <c r="B254" s="2">
        <v>45786</v>
      </c>
      <c r="C254" s="1" t="s">
        <v>695</v>
      </c>
      <c r="D254" s="1" t="s">
        <v>696</v>
      </c>
      <c r="E254" s="1" t="s">
        <v>37</v>
      </c>
      <c r="F254" s="1" t="s">
        <v>69</v>
      </c>
      <c r="G254" s="1" t="s">
        <v>32</v>
      </c>
      <c r="H254" s="1" t="s">
        <v>54</v>
      </c>
      <c r="I254">
        <v>7</v>
      </c>
      <c r="J254">
        <v>106941.08</v>
      </c>
      <c r="K254">
        <v>0.1</v>
      </c>
      <c r="L254">
        <v>22358.76</v>
      </c>
      <c r="M254" s="1" t="s">
        <v>28</v>
      </c>
    </row>
    <row r="255" spans="1:13" x14ac:dyDescent="0.3">
      <c r="A255" s="1" t="s">
        <v>697</v>
      </c>
      <c r="B255" s="2">
        <v>45924</v>
      </c>
      <c r="C255" s="1" t="s">
        <v>698</v>
      </c>
      <c r="D255" s="1" t="s">
        <v>699</v>
      </c>
      <c r="E255" s="1" t="s">
        <v>16</v>
      </c>
      <c r="F255" s="1" t="s">
        <v>69</v>
      </c>
      <c r="G255" s="1" t="s">
        <v>32</v>
      </c>
      <c r="H255" s="1" t="s">
        <v>54</v>
      </c>
      <c r="I255">
        <v>10</v>
      </c>
      <c r="J255">
        <v>134328</v>
      </c>
      <c r="K255">
        <v>0.15</v>
      </c>
      <c r="L255">
        <v>24937.68</v>
      </c>
      <c r="M255" s="1" t="s">
        <v>55</v>
      </c>
    </row>
    <row r="256" spans="1:13" x14ac:dyDescent="0.3">
      <c r="A256" s="1" t="s">
        <v>700</v>
      </c>
      <c r="B256" s="2">
        <v>45808</v>
      </c>
      <c r="C256" s="1" t="s">
        <v>540</v>
      </c>
      <c r="D256" s="1" t="s">
        <v>541</v>
      </c>
      <c r="E256" s="1" t="s">
        <v>37</v>
      </c>
      <c r="F256" s="1" t="s">
        <v>25</v>
      </c>
      <c r="G256" s="1" t="s">
        <v>44</v>
      </c>
      <c r="H256" s="1" t="s">
        <v>70</v>
      </c>
      <c r="I256">
        <v>2</v>
      </c>
      <c r="J256">
        <v>14817.73</v>
      </c>
      <c r="K256">
        <v>0.2</v>
      </c>
      <c r="L256">
        <v>2677.65</v>
      </c>
      <c r="M256" s="1" t="s">
        <v>28</v>
      </c>
    </row>
    <row r="257" spans="1:13" x14ac:dyDescent="0.3">
      <c r="A257" s="1" t="s">
        <v>701</v>
      </c>
      <c r="B257" s="2">
        <v>45955</v>
      </c>
      <c r="C257" s="1" t="s">
        <v>359</v>
      </c>
      <c r="D257" s="1" t="s">
        <v>360</v>
      </c>
      <c r="E257" s="1" t="s">
        <v>43</v>
      </c>
      <c r="F257" s="1" t="s">
        <v>25</v>
      </c>
      <c r="G257" s="1" t="s">
        <v>32</v>
      </c>
      <c r="H257" s="1" t="s">
        <v>79</v>
      </c>
      <c r="I257">
        <v>7</v>
      </c>
      <c r="J257">
        <v>100752.25</v>
      </c>
      <c r="K257">
        <v>0.15</v>
      </c>
      <c r="L257">
        <v>19867.8</v>
      </c>
      <c r="M257" s="1" t="s">
        <v>50</v>
      </c>
    </row>
    <row r="258" spans="1:13" x14ac:dyDescent="0.3">
      <c r="A258" s="1" t="s">
        <v>702</v>
      </c>
      <c r="B258" s="2">
        <v>45756</v>
      </c>
      <c r="C258" s="1" t="s">
        <v>703</v>
      </c>
      <c r="D258" s="1" t="s">
        <v>704</v>
      </c>
      <c r="E258" s="1" t="s">
        <v>74</v>
      </c>
      <c r="F258" s="1" t="s">
        <v>25</v>
      </c>
      <c r="G258" s="1" t="s">
        <v>32</v>
      </c>
      <c r="H258" s="1" t="s">
        <v>54</v>
      </c>
      <c r="I258">
        <v>5</v>
      </c>
      <c r="J258">
        <v>82768.62</v>
      </c>
      <c r="K258">
        <v>0.05</v>
      </c>
      <c r="L258">
        <v>18997.91</v>
      </c>
      <c r="M258" s="1" t="s">
        <v>28</v>
      </c>
    </row>
    <row r="259" spans="1:13" x14ac:dyDescent="0.3">
      <c r="A259" s="1" t="s">
        <v>705</v>
      </c>
      <c r="B259" s="2">
        <v>45920</v>
      </c>
      <c r="C259" s="1" t="s">
        <v>242</v>
      </c>
      <c r="D259" s="1" t="s">
        <v>243</v>
      </c>
      <c r="E259" s="1" t="s">
        <v>16</v>
      </c>
      <c r="F259" s="1" t="s">
        <v>17</v>
      </c>
      <c r="G259" s="1" t="s">
        <v>44</v>
      </c>
      <c r="H259" s="1" t="s">
        <v>75</v>
      </c>
      <c r="I259">
        <v>10</v>
      </c>
      <c r="J259">
        <v>106785.12</v>
      </c>
      <c r="K259">
        <v>0.1</v>
      </c>
      <c r="L259">
        <v>18498.88</v>
      </c>
      <c r="M259" s="1" t="s">
        <v>28</v>
      </c>
    </row>
    <row r="260" spans="1:13" x14ac:dyDescent="0.3">
      <c r="A260" s="1" t="s">
        <v>706</v>
      </c>
      <c r="B260" s="2">
        <v>45909</v>
      </c>
      <c r="C260" s="1" t="s">
        <v>707</v>
      </c>
      <c r="D260" s="1" t="s">
        <v>708</v>
      </c>
      <c r="E260" s="1" t="s">
        <v>74</v>
      </c>
      <c r="F260" s="1" t="s">
        <v>25</v>
      </c>
      <c r="G260" s="1" t="s">
        <v>32</v>
      </c>
      <c r="H260" s="1" t="s">
        <v>59</v>
      </c>
      <c r="I260">
        <v>8</v>
      </c>
      <c r="J260">
        <v>134053.06</v>
      </c>
      <c r="K260">
        <v>0.15</v>
      </c>
      <c r="L260">
        <v>28539.69</v>
      </c>
      <c r="M260" s="1" t="s">
        <v>28</v>
      </c>
    </row>
    <row r="261" spans="1:13" x14ac:dyDescent="0.3">
      <c r="A261" s="1" t="s">
        <v>709</v>
      </c>
      <c r="B261" s="2">
        <v>45801</v>
      </c>
      <c r="C261" s="1" t="s">
        <v>710</v>
      </c>
      <c r="D261" s="1" t="s">
        <v>711</v>
      </c>
      <c r="E261" s="1" t="s">
        <v>43</v>
      </c>
      <c r="F261" s="1" t="s">
        <v>69</v>
      </c>
      <c r="G261" s="1" t="s">
        <v>18</v>
      </c>
      <c r="H261" s="1" t="s">
        <v>145</v>
      </c>
      <c r="I261">
        <v>2</v>
      </c>
      <c r="J261">
        <v>3738.25</v>
      </c>
      <c r="K261">
        <v>0.2</v>
      </c>
      <c r="L261">
        <v>1124.03</v>
      </c>
      <c r="M261" s="1" t="s">
        <v>39</v>
      </c>
    </row>
    <row r="262" spans="1:13" x14ac:dyDescent="0.3">
      <c r="A262" s="1" t="s">
        <v>712</v>
      </c>
      <c r="B262" s="2">
        <v>46003</v>
      </c>
      <c r="C262" s="1" t="s">
        <v>713</v>
      </c>
      <c r="D262" s="1" t="s">
        <v>714</v>
      </c>
      <c r="E262" s="1" t="s">
        <v>37</v>
      </c>
      <c r="F262" s="1" t="s">
        <v>17</v>
      </c>
      <c r="G262" s="1" t="s">
        <v>26</v>
      </c>
      <c r="H262" s="1" t="s">
        <v>86</v>
      </c>
      <c r="I262">
        <v>10</v>
      </c>
      <c r="J262">
        <v>16004.7</v>
      </c>
      <c r="K262">
        <v>0.1</v>
      </c>
      <c r="L262">
        <v>4115.07</v>
      </c>
      <c r="M262" s="1" t="s">
        <v>55</v>
      </c>
    </row>
    <row r="263" spans="1:13" x14ac:dyDescent="0.3">
      <c r="A263" s="1" t="s">
        <v>715</v>
      </c>
      <c r="B263" s="2">
        <v>45769</v>
      </c>
      <c r="C263" s="1" t="s">
        <v>716</v>
      </c>
      <c r="D263" s="1" t="s">
        <v>717</v>
      </c>
      <c r="E263" s="1" t="s">
        <v>37</v>
      </c>
      <c r="F263" s="1" t="s">
        <v>69</v>
      </c>
      <c r="G263" s="1" t="s">
        <v>18</v>
      </c>
      <c r="H263" s="1" t="s">
        <v>19</v>
      </c>
      <c r="I263">
        <v>5</v>
      </c>
      <c r="J263">
        <v>7038.16</v>
      </c>
      <c r="K263">
        <v>0</v>
      </c>
      <c r="L263">
        <v>2156.7399999999998</v>
      </c>
      <c r="M263" s="1" t="s">
        <v>50</v>
      </c>
    </row>
    <row r="264" spans="1:13" x14ac:dyDescent="0.3">
      <c r="A264" s="1" t="s">
        <v>718</v>
      </c>
      <c r="B264" s="2">
        <v>45717</v>
      </c>
      <c r="C264" s="1" t="s">
        <v>719</v>
      </c>
      <c r="D264" s="1" t="s">
        <v>720</v>
      </c>
      <c r="E264" s="1" t="s">
        <v>74</v>
      </c>
      <c r="F264" s="1" t="s">
        <v>17</v>
      </c>
      <c r="G264" s="1" t="s">
        <v>44</v>
      </c>
      <c r="H264" s="1" t="s">
        <v>70</v>
      </c>
      <c r="I264">
        <v>5</v>
      </c>
      <c r="J264">
        <v>40712.32</v>
      </c>
      <c r="K264">
        <v>0.1</v>
      </c>
      <c r="L264">
        <v>5574.85</v>
      </c>
      <c r="M264" s="1" t="s">
        <v>50</v>
      </c>
    </row>
    <row r="265" spans="1:13" x14ac:dyDescent="0.3">
      <c r="A265" s="1" t="s">
        <v>721</v>
      </c>
      <c r="B265" s="2">
        <v>45659</v>
      </c>
      <c r="C265" s="1" t="s">
        <v>208</v>
      </c>
      <c r="D265" s="1" t="s">
        <v>209</v>
      </c>
      <c r="E265" s="1" t="s">
        <v>24</v>
      </c>
      <c r="F265" s="1" t="s">
        <v>25</v>
      </c>
      <c r="G265" s="1" t="s">
        <v>44</v>
      </c>
      <c r="H265" s="1" t="s">
        <v>155</v>
      </c>
      <c r="I265">
        <v>4</v>
      </c>
      <c r="J265">
        <v>34032.33</v>
      </c>
      <c r="K265">
        <v>0.2</v>
      </c>
      <c r="L265">
        <v>5714.46</v>
      </c>
      <c r="M265" s="1" t="s">
        <v>55</v>
      </c>
    </row>
    <row r="266" spans="1:13" x14ac:dyDescent="0.3">
      <c r="A266" s="1" t="s">
        <v>722</v>
      </c>
      <c r="B266" s="2">
        <v>45961</v>
      </c>
      <c r="C266" s="1" t="s">
        <v>61</v>
      </c>
      <c r="D266" s="1" t="s">
        <v>62</v>
      </c>
      <c r="E266" s="1" t="s">
        <v>16</v>
      </c>
      <c r="F266" s="1" t="s">
        <v>17</v>
      </c>
      <c r="G266" s="1" t="s">
        <v>44</v>
      </c>
      <c r="H266" s="1" t="s">
        <v>70</v>
      </c>
      <c r="I266">
        <v>2</v>
      </c>
      <c r="J266">
        <v>18232.54</v>
      </c>
      <c r="K266">
        <v>0.2</v>
      </c>
      <c r="L266">
        <v>3674.04</v>
      </c>
      <c r="M266" s="1" t="s">
        <v>50</v>
      </c>
    </row>
    <row r="267" spans="1:13" x14ac:dyDescent="0.3">
      <c r="A267" s="1" t="s">
        <v>723</v>
      </c>
      <c r="B267" s="2">
        <v>45911</v>
      </c>
      <c r="C267" s="1" t="s">
        <v>494</v>
      </c>
      <c r="D267" s="1" t="s">
        <v>495</v>
      </c>
      <c r="E267" s="1" t="s">
        <v>43</v>
      </c>
      <c r="F267" s="1" t="s">
        <v>69</v>
      </c>
      <c r="G267" s="1" t="s">
        <v>32</v>
      </c>
      <c r="H267" s="1" t="s">
        <v>54</v>
      </c>
      <c r="I267">
        <v>8</v>
      </c>
      <c r="J267">
        <v>158716.03</v>
      </c>
      <c r="K267">
        <v>0.05</v>
      </c>
      <c r="L267">
        <v>34923.230000000003</v>
      </c>
      <c r="M267" s="1" t="s">
        <v>50</v>
      </c>
    </row>
    <row r="268" spans="1:13" x14ac:dyDescent="0.3">
      <c r="A268" s="1" t="s">
        <v>724</v>
      </c>
      <c r="B268" s="2">
        <v>45797</v>
      </c>
      <c r="C268" s="1" t="s">
        <v>725</v>
      </c>
      <c r="D268" s="1" t="s">
        <v>726</v>
      </c>
      <c r="E268" s="1" t="s">
        <v>37</v>
      </c>
      <c r="F268" s="1" t="s">
        <v>25</v>
      </c>
      <c r="G268" s="1" t="s">
        <v>44</v>
      </c>
      <c r="H268" s="1" t="s">
        <v>90</v>
      </c>
      <c r="I268">
        <v>1</v>
      </c>
      <c r="J268">
        <v>9576.4699999999993</v>
      </c>
      <c r="K268">
        <v>0.15</v>
      </c>
      <c r="L268">
        <v>1416.7</v>
      </c>
      <c r="M268" s="1" t="s">
        <v>50</v>
      </c>
    </row>
    <row r="269" spans="1:13" x14ac:dyDescent="0.3">
      <c r="A269" s="1" t="s">
        <v>727</v>
      </c>
      <c r="B269" s="2">
        <v>45694</v>
      </c>
      <c r="C269" s="1" t="s">
        <v>580</v>
      </c>
      <c r="D269" s="1" t="s">
        <v>581</v>
      </c>
      <c r="E269" s="1" t="s">
        <v>43</v>
      </c>
      <c r="F269" s="1" t="s">
        <v>17</v>
      </c>
      <c r="G269" s="1" t="s">
        <v>18</v>
      </c>
      <c r="H269" s="1" t="s">
        <v>141</v>
      </c>
      <c r="I269">
        <v>4</v>
      </c>
      <c r="J269">
        <v>8894.85</v>
      </c>
      <c r="K269">
        <v>0</v>
      </c>
      <c r="L269">
        <v>2198.3000000000002</v>
      </c>
      <c r="M269" s="1" t="s">
        <v>55</v>
      </c>
    </row>
    <row r="270" spans="1:13" x14ac:dyDescent="0.3">
      <c r="A270" s="1" t="s">
        <v>728</v>
      </c>
      <c r="B270" s="2">
        <v>45817</v>
      </c>
      <c r="C270" s="1" t="s">
        <v>703</v>
      </c>
      <c r="D270" s="1" t="s">
        <v>704</v>
      </c>
      <c r="E270" s="1" t="s">
        <v>16</v>
      </c>
      <c r="F270" s="1" t="s">
        <v>17</v>
      </c>
      <c r="G270" s="1" t="s">
        <v>18</v>
      </c>
      <c r="H270" s="1" t="s">
        <v>122</v>
      </c>
      <c r="I270">
        <v>8</v>
      </c>
      <c r="J270">
        <v>17320.72</v>
      </c>
      <c r="K270">
        <v>0.2</v>
      </c>
      <c r="L270">
        <v>4996.16</v>
      </c>
      <c r="M270" s="1" t="s">
        <v>20</v>
      </c>
    </row>
    <row r="271" spans="1:13" x14ac:dyDescent="0.3">
      <c r="A271" s="1" t="s">
        <v>729</v>
      </c>
      <c r="B271" s="2">
        <v>45666</v>
      </c>
      <c r="C271" s="1" t="s">
        <v>730</v>
      </c>
      <c r="D271" s="1" t="s">
        <v>731</v>
      </c>
      <c r="E271" s="1" t="s">
        <v>37</v>
      </c>
      <c r="F271" s="1" t="s">
        <v>69</v>
      </c>
      <c r="G271" s="1" t="s">
        <v>44</v>
      </c>
      <c r="H271" s="1" t="s">
        <v>155</v>
      </c>
      <c r="I271">
        <v>6</v>
      </c>
      <c r="J271">
        <v>71400.490000000005</v>
      </c>
      <c r="K271">
        <v>0</v>
      </c>
      <c r="L271">
        <v>10929.95</v>
      </c>
      <c r="M271" s="1" t="s">
        <v>39</v>
      </c>
    </row>
    <row r="272" spans="1:13" x14ac:dyDescent="0.3">
      <c r="A272" s="1" t="s">
        <v>732</v>
      </c>
      <c r="B272" s="2">
        <v>45890</v>
      </c>
      <c r="C272" s="1" t="s">
        <v>72</v>
      </c>
      <c r="D272" s="1" t="s">
        <v>73</v>
      </c>
      <c r="E272" s="1" t="s">
        <v>37</v>
      </c>
      <c r="F272" s="1" t="s">
        <v>25</v>
      </c>
      <c r="G272" s="1" t="s">
        <v>44</v>
      </c>
      <c r="H272" s="1" t="s">
        <v>70</v>
      </c>
      <c r="I272">
        <v>8</v>
      </c>
      <c r="J272">
        <v>48233.82</v>
      </c>
      <c r="K272">
        <v>0.15</v>
      </c>
      <c r="L272">
        <v>7652.39</v>
      </c>
      <c r="M272" s="1" t="s">
        <v>20</v>
      </c>
    </row>
    <row r="273" spans="1:13" x14ac:dyDescent="0.3">
      <c r="A273" s="1" t="s">
        <v>733</v>
      </c>
      <c r="B273" s="2">
        <v>45756</v>
      </c>
      <c r="C273" s="1" t="s">
        <v>169</v>
      </c>
      <c r="D273" s="1" t="s">
        <v>170</v>
      </c>
      <c r="E273" s="1" t="s">
        <v>24</v>
      </c>
      <c r="F273" s="1" t="s">
        <v>17</v>
      </c>
      <c r="G273" s="1" t="s">
        <v>26</v>
      </c>
      <c r="H273" s="1" t="s">
        <v>86</v>
      </c>
      <c r="I273">
        <v>8</v>
      </c>
      <c r="J273">
        <v>32439.23</v>
      </c>
      <c r="K273">
        <v>0.15</v>
      </c>
      <c r="L273">
        <v>6902.86</v>
      </c>
      <c r="M273" s="1" t="s">
        <v>55</v>
      </c>
    </row>
    <row r="274" spans="1:13" x14ac:dyDescent="0.3">
      <c r="A274" s="1" t="s">
        <v>734</v>
      </c>
      <c r="B274" s="2">
        <v>45804</v>
      </c>
      <c r="C274" s="1" t="s">
        <v>476</v>
      </c>
      <c r="D274" s="1" t="s">
        <v>477</v>
      </c>
      <c r="E274" s="1" t="s">
        <v>74</v>
      </c>
      <c r="F274" s="1" t="s">
        <v>17</v>
      </c>
      <c r="G274" s="1" t="s">
        <v>18</v>
      </c>
      <c r="H274" s="1" t="s">
        <v>122</v>
      </c>
      <c r="I274">
        <v>3</v>
      </c>
      <c r="J274">
        <v>5057.62</v>
      </c>
      <c r="K274">
        <v>0.15</v>
      </c>
      <c r="L274">
        <v>1373.76</v>
      </c>
      <c r="M274" s="1" t="s">
        <v>28</v>
      </c>
    </row>
    <row r="275" spans="1:13" x14ac:dyDescent="0.3">
      <c r="A275" s="1" t="s">
        <v>735</v>
      </c>
      <c r="B275" s="2">
        <v>45961</v>
      </c>
      <c r="C275" s="1" t="s">
        <v>736</v>
      </c>
      <c r="D275" s="1" t="s">
        <v>737</v>
      </c>
      <c r="E275" s="1" t="s">
        <v>16</v>
      </c>
      <c r="F275" s="1" t="s">
        <v>17</v>
      </c>
      <c r="G275" s="1" t="s">
        <v>18</v>
      </c>
      <c r="H275" s="1" t="s">
        <v>97</v>
      </c>
      <c r="I275">
        <v>5</v>
      </c>
      <c r="J275">
        <v>7289.2</v>
      </c>
      <c r="K275">
        <v>0.25</v>
      </c>
      <c r="L275">
        <v>1797.53</v>
      </c>
      <c r="M275" s="1" t="s">
        <v>28</v>
      </c>
    </row>
    <row r="276" spans="1:13" x14ac:dyDescent="0.3">
      <c r="A276" s="1" t="s">
        <v>738</v>
      </c>
      <c r="B276" s="2">
        <v>45865</v>
      </c>
      <c r="C276" s="1" t="s">
        <v>739</v>
      </c>
      <c r="D276" s="1" t="s">
        <v>740</v>
      </c>
      <c r="E276" s="1" t="s">
        <v>74</v>
      </c>
      <c r="F276" s="1" t="s">
        <v>69</v>
      </c>
      <c r="G276" s="1" t="s">
        <v>32</v>
      </c>
      <c r="H276" s="1" t="s">
        <v>54</v>
      </c>
      <c r="I276">
        <v>8</v>
      </c>
      <c r="J276">
        <v>72317.84</v>
      </c>
      <c r="K276">
        <v>0.05</v>
      </c>
      <c r="L276">
        <v>14863.63</v>
      </c>
      <c r="M276" s="1" t="s">
        <v>50</v>
      </c>
    </row>
    <row r="277" spans="1:13" x14ac:dyDescent="0.3">
      <c r="A277" s="1" t="s">
        <v>741</v>
      </c>
      <c r="B277" s="2">
        <v>45788</v>
      </c>
      <c r="C277" s="1" t="s">
        <v>285</v>
      </c>
      <c r="D277" s="1" t="s">
        <v>286</v>
      </c>
      <c r="E277" s="1" t="s">
        <v>43</v>
      </c>
      <c r="F277" s="1" t="s">
        <v>69</v>
      </c>
      <c r="G277" s="1" t="s">
        <v>32</v>
      </c>
      <c r="H277" s="1" t="s">
        <v>59</v>
      </c>
      <c r="I277">
        <v>6</v>
      </c>
      <c r="J277">
        <v>112889.78</v>
      </c>
      <c r="K277">
        <v>0.05</v>
      </c>
      <c r="L277">
        <v>20125.28</v>
      </c>
      <c r="M277" s="1" t="s">
        <v>55</v>
      </c>
    </row>
    <row r="278" spans="1:13" x14ac:dyDescent="0.3">
      <c r="A278" s="1" t="s">
        <v>742</v>
      </c>
      <c r="B278" s="2">
        <v>45809</v>
      </c>
      <c r="C278" s="1" t="s">
        <v>226</v>
      </c>
      <c r="D278" s="1" t="s">
        <v>227</v>
      </c>
      <c r="E278" s="1" t="s">
        <v>74</v>
      </c>
      <c r="F278" s="1" t="s">
        <v>69</v>
      </c>
      <c r="G278" s="1" t="s">
        <v>18</v>
      </c>
      <c r="H278" s="1" t="s">
        <v>122</v>
      </c>
      <c r="I278">
        <v>6</v>
      </c>
      <c r="J278">
        <v>12933</v>
      </c>
      <c r="K278">
        <v>0.1</v>
      </c>
      <c r="L278">
        <v>3377.7</v>
      </c>
      <c r="M278" s="1" t="s">
        <v>28</v>
      </c>
    </row>
    <row r="279" spans="1:13" x14ac:dyDescent="0.3">
      <c r="A279" s="1" t="s">
        <v>743</v>
      </c>
      <c r="B279" s="2">
        <v>45711</v>
      </c>
      <c r="C279" s="1" t="s">
        <v>498</v>
      </c>
      <c r="D279" s="1" t="s">
        <v>499</v>
      </c>
      <c r="E279" s="1" t="s">
        <v>43</v>
      </c>
      <c r="F279" s="1" t="s">
        <v>25</v>
      </c>
      <c r="G279" s="1" t="s">
        <v>32</v>
      </c>
      <c r="H279" s="1" t="s">
        <v>33</v>
      </c>
      <c r="I279">
        <v>9</v>
      </c>
      <c r="J279">
        <v>151442.82</v>
      </c>
      <c r="K279">
        <v>0.05</v>
      </c>
      <c r="L279">
        <v>31254.91</v>
      </c>
      <c r="M279" s="1" t="s">
        <v>28</v>
      </c>
    </row>
    <row r="280" spans="1:13" x14ac:dyDescent="0.3">
      <c r="A280" s="1" t="s">
        <v>744</v>
      </c>
      <c r="B280" s="2">
        <v>45777</v>
      </c>
      <c r="C280" s="1" t="s">
        <v>745</v>
      </c>
      <c r="D280" s="1" t="s">
        <v>746</v>
      </c>
      <c r="E280" s="1" t="s">
        <v>24</v>
      </c>
      <c r="F280" s="1" t="s">
        <v>17</v>
      </c>
      <c r="G280" s="1" t="s">
        <v>18</v>
      </c>
      <c r="H280" s="1" t="s">
        <v>97</v>
      </c>
      <c r="I280">
        <v>10</v>
      </c>
      <c r="J280">
        <v>13994.78</v>
      </c>
      <c r="K280">
        <v>0.1</v>
      </c>
      <c r="L280">
        <v>4394.51</v>
      </c>
      <c r="M280" s="1" t="s">
        <v>39</v>
      </c>
    </row>
    <row r="281" spans="1:13" x14ac:dyDescent="0.3">
      <c r="A281" s="1" t="s">
        <v>747</v>
      </c>
      <c r="B281" s="2">
        <v>45818</v>
      </c>
      <c r="C281" s="1" t="s">
        <v>748</v>
      </c>
      <c r="D281" s="1" t="s">
        <v>749</v>
      </c>
      <c r="E281" s="1" t="s">
        <v>43</v>
      </c>
      <c r="F281" s="1" t="s">
        <v>25</v>
      </c>
      <c r="G281" s="1" t="s">
        <v>26</v>
      </c>
      <c r="H281" s="1" t="s">
        <v>86</v>
      </c>
      <c r="I281">
        <v>9</v>
      </c>
      <c r="J281">
        <v>27023.39</v>
      </c>
      <c r="K281">
        <v>0.1</v>
      </c>
      <c r="L281">
        <v>7669.86</v>
      </c>
      <c r="M281" s="1" t="s">
        <v>55</v>
      </c>
    </row>
    <row r="282" spans="1:13" x14ac:dyDescent="0.3">
      <c r="A282" s="1" t="s">
        <v>750</v>
      </c>
      <c r="B282" s="2">
        <v>45773</v>
      </c>
      <c r="C282" s="1" t="s">
        <v>751</v>
      </c>
      <c r="D282" s="1" t="s">
        <v>752</v>
      </c>
      <c r="E282" s="1" t="s">
        <v>16</v>
      </c>
      <c r="F282" s="1" t="s">
        <v>25</v>
      </c>
      <c r="G282" s="1" t="s">
        <v>26</v>
      </c>
      <c r="H282" s="1" t="s">
        <v>27</v>
      </c>
      <c r="I282">
        <v>9</v>
      </c>
      <c r="J282">
        <v>24511.119999999999</v>
      </c>
      <c r="K282">
        <v>0.2</v>
      </c>
      <c r="L282">
        <v>7083.43</v>
      </c>
      <c r="M282" s="1" t="s">
        <v>20</v>
      </c>
    </row>
    <row r="283" spans="1:13" x14ac:dyDescent="0.3">
      <c r="A283" s="1" t="s">
        <v>753</v>
      </c>
      <c r="B283" s="2">
        <v>45732</v>
      </c>
      <c r="C283" s="1" t="s">
        <v>81</v>
      </c>
      <c r="D283" s="1" t="s">
        <v>82</v>
      </c>
      <c r="E283" s="1" t="s">
        <v>16</v>
      </c>
      <c r="F283" s="1" t="s">
        <v>25</v>
      </c>
      <c r="G283" s="1" t="s">
        <v>18</v>
      </c>
      <c r="H283" s="1" t="s">
        <v>145</v>
      </c>
      <c r="I283">
        <v>7</v>
      </c>
      <c r="J283">
        <v>15875.68</v>
      </c>
      <c r="K283">
        <v>0.15</v>
      </c>
      <c r="L283">
        <v>4095</v>
      </c>
      <c r="M283" s="1" t="s">
        <v>28</v>
      </c>
    </row>
    <row r="284" spans="1:13" x14ac:dyDescent="0.3">
      <c r="A284" s="1" t="s">
        <v>754</v>
      </c>
      <c r="B284" s="2">
        <v>45770</v>
      </c>
      <c r="C284" s="1" t="s">
        <v>703</v>
      </c>
      <c r="D284" s="1" t="s">
        <v>704</v>
      </c>
      <c r="E284" s="1" t="s">
        <v>37</v>
      </c>
      <c r="F284" s="1" t="s">
        <v>17</v>
      </c>
      <c r="G284" s="1" t="s">
        <v>26</v>
      </c>
      <c r="H284" s="1" t="s">
        <v>244</v>
      </c>
      <c r="I284">
        <v>6</v>
      </c>
      <c r="J284">
        <v>25092.97</v>
      </c>
      <c r="K284">
        <v>0.05</v>
      </c>
      <c r="L284">
        <v>7345.02</v>
      </c>
      <c r="M284" s="1" t="s">
        <v>39</v>
      </c>
    </row>
    <row r="285" spans="1:13" x14ac:dyDescent="0.3">
      <c r="A285" s="1" t="s">
        <v>755</v>
      </c>
      <c r="B285" s="2">
        <v>45761</v>
      </c>
      <c r="C285" s="1" t="s">
        <v>756</v>
      </c>
      <c r="D285" s="1" t="s">
        <v>757</v>
      </c>
      <c r="E285" s="1" t="s">
        <v>37</v>
      </c>
      <c r="F285" s="1" t="s">
        <v>25</v>
      </c>
      <c r="G285" s="1" t="s">
        <v>18</v>
      </c>
      <c r="H285" s="1" t="s">
        <v>141</v>
      </c>
      <c r="I285">
        <v>10</v>
      </c>
      <c r="J285">
        <v>16513.03</v>
      </c>
      <c r="K285">
        <v>0</v>
      </c>
      <c r="L285">
        <v>4717.42</v>
      </c>
      <c r="M285" s="1" t="s">
        <v>20</v>
      </c>
    </row>
    <row r="286" spans="1:13" x14ac:dyDescent="0.3">
      <c r="A286" s="1" t="s">
        <v>758</v>
      </c>
      <c r="B286" s="2">
        <v>45997</v>
      </c>
      <c r="C286" s="1" t="s">
        <v>628</v>
      </c>
      <c r="D286" s="1" t="s">
        <v>629</v>
      </c>
      <c r="E286" s="1" t="s">
        <v>74</v>
      </c>
      <c r="F286" s="1" t="s">
        <v>25</v>
      </c>
      <c r="G286" s="1" t="s">
        <v>44</v>
      </c>
      <c r="H286" s="1" t="s">
        <v>75</v>
      </c>
      <c r="I286">
        <v>10</v>
      </c>
      <c r="J286">
        <v>86560.21</v>
      </c>
      <c r="K286">
        <v>0.15</v>
      </c>
      <c r="L286">
        <v>17759.349999999999</v>
      </c>
      <c r="M286" s="1" t="s">
        <v>50</v>
      </c>
    </row>
    <row r="287" spans="1:13" x14ac:dyDescent="0.3">
      <c r="A287" s="1" t="s">
        <v>759</v>
      </c>
      <c r="B287" s="2">
        <v>45911</v>
      </c>
      <c r="C287" s="1" t="s">
        <v>172</v>
      </c>
      <c r="D287" s="1" t="s">
        <v>173</v>
      </c>
      <c r="E287" s="1" t="s">
        <v>24</v>
      </c>
      <c r="F287" s="1" t="s">
        <v>25</v>
      </c>
      <c r="G287" s="1" t="s">
        <v>44</v>
      </c>
      <c r="H287" s="1" t="s">
        <v>90</v>
      </c>
      <c r="I287">
        <v>6</v>
      </c>
      <c r="J287">
        <v>39504.68</v>
      </c>
      <c r="K287">
        <v>0.15</v>
      </c>
      <c r="L287">
        <v>5923.75</v>
      </c>
      <c r="M287" s="1" t="s">
        <v>28</v>
      </c>
    </row>
    <row r="288" spans="1:13" x14ac:dyDescent="0.3">
      <c r="A288" s="1" t="s">
        <v>760</v>
      </c>
      <c r="B288" s="2">
        <v>45884</v>
      </c>
      <c r="C288" s="1" t="s">
        <v>761</v>
      </c>
      <c r="D288" s="1" t="s">
        <v>762</v>
      </c>
      <c r="E288" s="1" t="s">
        <v>37</v>
      </c>
      <c r="F288" s="1" t="s">
        <v>17</v>
      </c>
      <c r="G288" s="1" t="s">
        <v>32</v>
      </c>
      <c r="H288" s="1" t="s">
        <v>54</v>
      </c>
      <c r="I288">
        <v>10</v>
      </c>
      <c r="J288">
        <v>158961.70000000001</v>
      </c>
      <c r="K288">
        <v>0.15</v>
      </c>
      <c r="L288">
        <v>27125.79</v>
      </c>
      <c r="M288" s="1" t="s">
        <v>20</v>
      </c>
    </row>
    <row r="289" spans="1:13" x14ac:dyDescent="0.3">
      <c r="A289" s="1" t="s">
        <v>763</v>
      </c>
      <c r="B289" s="2">
        <v>45769</v>
      </c>
      <c r="C289" s="1" t="s">
        <v>764</v>
      </c>
      <c r="D289" s="1" t="s">
        <v>765</v>
      </c>
      <c r="E289" s="1" t="s">
        <v>24</v>
      </c>
      <c r="F289" s="1" t="s">
        <v>25</v>
      </c>
      <c r="G289" s="1" t="s">
        <v>44</v>
      </c>
      <c r="H289" s="1" t="s">
        <v>155</v>
      </c>
      <c r="I289">
        <v>7</v>
      </c>
      <c r="J289">
        <v>88887.55</v>
      </c>
      <c r="K289">
        <v>0.1</v>
      </c>
      <c r="L289">
        <v>17849.7</v>
      </c>
      <c r="M289" s="1" t="s">
        <v>55</v>
      </c>
    </row>
    <row r="290" spans="1:13" x14ac:dyDescent="0.3">
      <c r="A290" s="1" t="s">
        <v>766</v>
      </c>
      <c r="B290" s="2">
        <v>45756</v>
      </c>
      <c r="C290" s="1" t="s">
        <v>326</v>
      </c>
      <c r="D290" s="1" t="s">
        <v>327</v>
      </c>
      <c r="E290" s="1" t="s">
        <v>37</v>
      </c>
      <c r="F290" s="1" t="s">
        <v>25</v>
      </c>
      <c r="G290" s="1" t="s">
        <v>44</v>
      </c>
      <c r="H290" s="1" t="s">
        <v>45</v>
      </c>
      <c r="I290">
        <v>4</v>
      </c>
      <c r="J290">
        <v>41725.11</v>
      </c>
      <c r="K290">
        <v>0.1</v>
      </c>
      <c r="L290">
        <v>8651.92</v>
      </c>
      <c r="M290" s="1" t="s">
        <v>28</v>
      </c>
    </row>
    <row r="291" spans="1:13" x14ac:dyDescent="0.3">
      <c r="A291" s="1" t="s">
        <v>767</v>
      </c>
      <c r="B291" s="2">
        <v>45810</v>
      </c>
      <c r="C291" s="1" t="s">
        <v>540</v>
      </c>
      <c r="D291" s="1" t="s">
        <v>541</v>
      </c>
      <c r="E291" s="1" t="s">
        <v>24</v>
      </c>
      <c r="F291" s="1" t="s">
        <v>25</v>
      </c>
      <c r="G291" s="1" t="s">
        <v>44</v>
      </c>
      <c r="H291" s="1" t="s">
        <v>90</v>
      </c>
      <c r="I291">
        <v>3</v>
      </c>
      <c r="J291">
        <v>35298.6</v>
      </c>
      <c r="K291">
        <v>0.05</v>
      </c>
      <c r="L291">
        <v>5774.88</v>
      </c>
      <c r="M291" s="1" t="s">
        <v>55</v>
      </c>
    </row>
    <row r="292" spans="1:13" x14ac:dyDescent="0.3">
      <c r="A292" s="1" t="s">
        <v>768</v>
      </c>
      <c r="B292" s="2">
        <v>46006</v>
      </c>
      <c r="C292" s="1" t="s">
        <v>460</v>
      </c>
      <c r="D292" s="1" t="s">
        <v>461</v>
      </c>
      <c r="E292" s="1" t="s">
        <v>16</v>
      </c>
      <c r="F292" s="1" t="s">
        <v>25</v>
      </c>
      <c r="G292" s="1" t="s">
        <v>44</v>
      </c>
      <c r="H292" s="1" t="s">
        <v>90</v>
      </c>
      <c r="I292">
        <v>1</v>
      </c>
      <c r="J292">
        <v>10475.959999999999</v>
      </c>
      <c r="K292">
        <v>0.05</v>
      </c>
      <c r="L292">
        <v>1420.04</v>
      </c>
      <c r="M292" s="1" t="s">
        <v>50</v>
      </c>
    </row>
    <row r="293" spans="1:13" x14ac:dyDescent="0.3">
      <c r="A293" s="1" t="s">
        <v>769</v>
      </c>
      <c r="B293" s="2">
        <v>45995</v>
      </c>
      <c r="C293" s="1" t="s">
        <v>770</v>
      </c>
      <c r="D293" s="1" t="s">
        <v>771</v>
      </c>
      <c r="E293" s="1" t="s">
        <v>43</v>
      </c>
      <c r="F293" s="1" t="s">
        <v>17</v>
      </c>
      <c r="G293" s="1" t="s">
        <v>44</v>
      </c>
      <c r="H293" s="1" t="s">
        <v>90</v>
      </c>
      <c r="I293">
        <v>6</v>
      </c>
      <c r="J293">
        <v>25953.49</v>
      </c>
      <c r="K293">
        <v>0.2</v>
      </c>
      <c r="L293">
        <v>4735.83</v>
      </c>
      <c r="M293" s="1" t="s">
        <v>20</v>
      </c>
    </row>
    <row r="294" spans="1:13" x14ac:dyDescent="0.3">
      <c r="A294" s="1" t="s">
        <v>772</v>
      </c>
      <c r="B294" s="2">
        <v>45851</v>
      </c>
      <c r="C294" s="1" t="s">
        <v>190</v>
      </c>
      <c r="D294" s="1" t="s">
        <v>191</v>
      </c>
      <c r="E294" s="1" t="s">
        <v>37</v>
      </c>
      <c r="F294" s="1" t="s">
        <v>25</v>
      </c>
      <c r="G294" s="1" t="s">
        <v>32</v>
      </c>
      <c r="H294" s="1" t="s">
        <v>54</v>
      </c>
      <c r="I294">
        <v>2</v>
      </c>
      <c r="J294">
        <v>27280.240000000002</v>
      </c>
      <c r="K294">
        <v>0.2</v>
      </c>
      <c r="L294">
        <v>5361.92</v>
      </c>
      <c r="M294" s="1" t="s">
        <v>50</v>
      </c>
    </row>
    <row r="295" spans="1:13" x14ac:dyDescent="0.3">
      <c r="A295" s="1" t="s">
        <v>773</v>
      </c>
      <c r="B295" s="2">
        <v>45967</v>
      </c>
      <c r="C295" s="1" t="s">
        <v>774</v>
      </c>
      <c r="D295" s="1" t="s">
        <v>775</v>
      </c>
      <c r="E295" s="1" t="s">
        <v>37</v>
      </c>
      <c r="F295" s="1" t="s">
        <v>17</v>
      </c>
      <c r="G295" s="1" t="s">
        <v>44</v>
      </c>
      <c r="H295" s="1" t="s">
        <v>75</v>
      </c>
      <c r="I295">
        <v>4</v>
      </c>
      <c r="J295">
        <v>46535.32</v>
      </c>
      <c r="K295">
        <v>0.05</v>
      </c>
      <c r="L295">
        <v>7360.1</v>
      </c>
      <c r="M295" s="1" t="s">
        <v>39</v>
      </c>
    </row>
    <row r="296" spans="1:13" x14ac:dyDescent="0.3">
      <c r="A296" s="1" t="s">
        <v>776</v>
      </c>
      <c r="B296" s="2">
        <v>45820</v>
      </c>
      <c r="C296" s="1" t="s">
        <v>777</v>
      </c>
      <c r="D296" s="1" t="s">
        <v>778</v>
      </c>
      <c r="E296" s="1" t="s">
        <v>16</v>
      </c>
      <c r="F296" s="1" t="s">
        <v>25</v>
      </c>
      <c r="G296" s="1" t="s">
        <v>32</v>
      </c>
      <c r="H296" s="1" t="s">
        <v>33</v>
      </c>
      <c r="I296">
        <v>3</v>
      </c>
      <c r="J296">
        <v>32579.040000000001</v>
      </c>
      <c r="K296">
        <v>0.1</v>
      </c>
      <c r="L296">
        <v>5795.61</v>
      </c>
      <c r="M296" s="1" t="s">
        <v>55</v>
      </c>
    </row>
    <row r="297" spans="1:13" x14ac:dyDescent="0.3">
      <c r="A297" s="1" t="s">
        <v>779</v>
      </c>
      <c r="B297" s="2">
        <v>45865</v>
      </c>
      <c r="C297" s="1" t="s">
        <v>780</v>
      </c>
      <c r="D297" s="1" t="s">
        <v>781</v>
      </c>
      <c r="E297" s="1" t="s">
        <v>16</v>
      </c>
      <c r="F297" s="1" t="s">
        <v>69</v>
      </c>
      <c r="G297" s="1" t="s">
        <v>32</v>
      </c>
      <c r="H297" s="1" t="s">
        <v>79</v>
      </c>
      <c r="I297">
        <v>8</v>
      </c>
      <c r="J297">
        <v>150090.84</v>
      </c>
      <c r="K297">
        <v>0.1</v>
      </c>
      <c r="L297">
        <v>28494.61</v>
      </c>
      <c r="M297" s="1" t="s">
        <v>28</v>
      </c>
    </row>
    <row r="298" spans="1:13" x14ac:dyDescent="0.3">
      <c r="A298" s="1" t="s">
        <v>782</v>
      </c>
      <c r="B298" s="2">
        <v>45826</v>
      </c>
      <c r="C298" s="1" t="s">
        <v>783</v>
      </c>
      <c r="D298" s="1" t="s">
        <v>784</v>
      </c>
      <c r="E298" s="1" t="s">
        <v>74</v>
      </c>
      <c r="F298" s="1" t="s">
        <v>25</v>
      </c>
      <c r="G298" s="1" t="s">
        <v>32</v>
      </c>
      <c r="H298" s="1" t="s">
        <v>38</v>
      </c>
      <c r="I298">
        <v>9</v>
      </c>
      <c r="J298">
        <v>175148.95</v>
      </c>
      <c r="K298">
        <v>0.05</v>
      </c>
      <c r="L298">
        <v>29863.360000000001</v>
      </c>
      <c r="M298" s="1" t="s">
        <v>28</v>
      </c>
    </row>
    <row r="299" spans="1:13" x14ac:dyDescent="0.3">
      <c r="A299" s="1" t="s">
        <v>785</v>
      </c>
      <c r="B299" s="2">
        <v>45818</v>
      </c>
      <c r="C299" s="1" t="s">
        <v>786</v>
      </c>
      <c r="D299" s="1" t="s">
        <v>787</v>
      </c>
      <c r="E299" s="1" t="s">
        <v>37</v>
      </c>
      <c r="F299" s="1" t="s">
        <v>69</v>
      </c>
      <c r="G299" s="1" t="s">
        <v>26</v>
      </c>
      <c r="H299" s="1" t="s">
        <v>86</v>
      </c>
      <c r="I299">
        <v>8</v>
      </c>
      <c r="J299">
        <v>29754.79</v>
      </c>
      <c r="K299">
        <v>0.15</v>
      </c>
      <c r="L299">
        <v>6116.41</v>
      </c>
      <c r="M299" s="1" t="s">
        <v>28</v>
      </c>
    </row>
    <row r="300" spans="1:13" x14ac:dyDescent="0.3">
      <c r="A300" s="1" t="s">
        <v>788</v>
      </c>
      <c r="B300" s="2">
        <v>45725</v>
      </c>
      <c r="C300" s="1" t="s">
        <v>376</v>
      </c>
      <c r="D300" s="1" t="s">
        <v>377</v>
      </c>
      <c r="E300" s="1" t="s">
        <v>43</v>
      </c>
      <c r="F300" s="1" t="s">
        <v>25</v>
      </c>
      <c r="G300" s="1" t="s">
        <v>32</v>
      </c>
      <c r="H300" s="1" t="s">
        <v>59</v>
      </c>
      <c r="I300">
        <v>7</v>
      </c>
      <c r="J300">
        <v>112471.61</v>
      </c>
      <c r="K300">
        <v>0.2</v>
      </c>
      <c r="L300">
        <v>29345.81</v>
      </c>
      <c r="M300" s="1" t="s">
        <v>55</v>
      </c>
    </row>
    <row r="301" spans="1:13" x14ac:dyDescent="0.3">
      <c r="A301" s="1" t="s">
        <v>789</v>
      </c>
      <c r="B301" s="2">
        <v>45946</v>
      </c>
      <c r="C301" s="1" t="s">
        <v>764</v>
      </c>
      <c r="D301" s="1" t="s">
        <v>765</v>
      </c>
      <c r="E301" s="1" t="s">
        <v>37</v>
      </c>
      <c r="F301" s="1" t="s">
        <v>25</v>
      </c>
      <c r="G301" s="1" t="s">
        <v>44</v>
      </c>
      <c r="H301" s="1" t="s">
        <v>90</v>
      </c>
      <c r="I301">
        <v>10</v>
      </c>
      <c r="J301">
        <v>87688.57</v>
      </c>
      <c r="K301">
        <v>0.2</v>
      </c>
      <c r="L301">
        <v>18611.849999999999</v>
      </c>
      <c r="M301" s="1" t="s">
        <v>28</v>
      </c>
    </row>
    <row r="302" spans="1:13" x14ac:dyDescent="0.3">
      <c r="A302" s="1" t="s">
        <v>790</v>
      </c>
      <c r="B302" s="2">
        <v>45934</v>
      </c>
      <c r="C302" s="1" t="s">
        <v>175</v>
      </c>
      <c r="D302" s="1" t="s">
        <v>176</v>
      </c>
      <c r="E302" s="1" t="s">
        <v>43</v>
      </c>
      <c r="F302" s="1" t="s">
        <v>69</v>
      </c>
      <c r="G302" s="1" t="s">
        <v>18</v>
      </c>
      <c r="H302" s="1" t="s">
        <v>122</v>
      </c>
      <c r="I302">
        <v>10</v>
      </c>
      <c r="J302">
        <v>10512.47</v>
      </c>
      <c r="K302">
        <v>0.15</v>
      </c>
      <c r="L302">
        <v>3082.51</v>
      </c>
      <c r="M302" s="1" t="s">
        <v>50</v>
      </c>
    </row>
    <row r="303" spans="1:13" x14ac:dyDescent="0.3">
      <c r="A303" s="1" t="s">
        <v>791</v>
      </c>
      <c r="B303" s="2">
        <v>45961</v>
      </c>
      <c r="C303" s="1" t="s">
        <v>792</v>
      </c>
      <c r="D303" s="1" t="s">
        <v>793</v>
      </c>
      <c r="E303" s="1" t="s">
        <v>16</v>
      </c>
      <c r="F303" s="1" t="s">
        <v>25</v>
      </c>
      <c r="G303" s="1" t="s">
        <v>18</v>
      </c>
      <c r="H303" s="1" t="s">
        <v>141</v>
      </c>
      <c r="I303">
        <v>2</v>
      </c>
      <c r="J303">
        <v>1888.86</v>
      </c>
      <c r="K303">
        <v>0.2</v>
      </c>
      <c r="L303">
        <v>533.25</v>
      </c>
      <c r="M303" s="1" t="s">
        <v>50</v>
      </c>
    </row>
    <row r="304" spans="1:13" x14ac:dyDescent="0.3">
      <c r="A304" s="1" t="s">
        <v>794</v>
      </c>
      <c r="B304" s="2">
        <v>45792</v>
      </c>
      <c r="C304" s="1" t="s">
        <v>628</v>
      </c>
      <c r="D304" s="1" t="s">
        <v>629</v>
      </c>
      <c r="E304" s="1" t="s">
        <v>37</v>
      </c>
      <c r="F304" s="1" t="s">
        <v>17</v>
      </c>
      <c r="G304" s="1" t="s">
        <v>18</v>
      </c>
      <c r="H304" s="1" t="s">
        <v>97</v>
      </c>
      <c r="I304">
        <v>5</v>
      </c>
      <c r="J304">
        <v>5838.63</v>
      </c>
      <c r="K304">
        <v>0</v>
      </c>
      <c r="L304">
        <v>1553.98</v>
      </c>
      <c r="M304" s="1" t="s">
        <v>28</v>
      </c>
    </row>
    <row r="305" spans="1:13" x14ac:dyDescent="0.3">
      <c r="A305" s="1" t="s">
        <v>795</v>
      </c>
      <c r="B305" s="2">
        <v>45852</v>
      </c>
      <c r="C305" s="1" t="s">
        <v>229</v>
      </c>
      <c r="D305" s="1" t="s">
        <v>230</v>
      </c>
      <c r="E305" s="1" t="s">
        <v>43</v>
      </c>
      <c r="F305" s="1" t="s">
        <v>17</v>
      </c>
      <c r="G305" s="1" t="s">
        <v>44</v>
      </c>
      <c r="H305" s="1" t="s">
        <v>45</v>
      </c>
      <c r="I305">
        <v>1</v>
      </c>
      <c r="J305">
        <v>10091.370000000001</v>
      </c>
      <c r="K305">
        <v>0.15</v>
      </c>
      <c r="L305">
        <v>2183.23</v>
      </c>
      <c r="M305" s="1" t="s">
        <v>28</v>
      </c>
    </row>
    <row r="306" spans="1:13" x14ac:dyDescent="0.3">
      <c r="A306" s="1" t="s">
        <v>796</v>
      </c>
      <c r="B306" s="2">
        <v>45785</v>
      </c>
      <c r="C306" s="1" t="s">
        <v>14</v>
      </c>
      <c r="D306" s="1" t="s">
        <v>15</v>
      </c>
      <c r="E306" s="1" t="s">
        <v>74</v>
      </c>
      <c r="F306" s="1" t="s">
        <v>69</v>
      </c>
      <c r="G306" s="1" t="s">
        <v>26</v>
      </c>
      <c r="H306" s="1" t="s">
        <v>244</v>
      </c>
      <c r="I306">
        <v>6</v>
      </c>
      <c r="J306">
        <v>15888.3</v>
      </c>
      <c r="K306">
        <v>0.15</v>
      </c>
      <c r="L306">
        <v>3228.15</v>
      </c>
      <c r="M306" s="1" t="s">
        <v>20</v>
      </c>
    </row>
    <row r="307" spans="1:13" x14ac:dyDescent="0.3">
      <c r="A307" s="1" t="s">
        <v>797</v>
      </c>
      <c r="B307" s="2">
        <v>45690</v>
      </c>
      <c r="C307" s="1" t="s">
        <v>402</v>
      </c>
      <c r="D307" s="1" t="s">
        <v>403</v>
      </c>
      <c r="E307" s="1" t="s">
        <v>24</v>
      </c>
      <c r="F307" s="1" t="s">
        <v>25</v>
      </c>
      <c r="G307" s="1" t="s">
        <v>32</v>
      </c>
      <c r="H307" s="1" t="s">
        <v>79</v>
      </c>
      <c r="I307">
        <v>1</v>
      </c>
      <c r="J307">
        <v>13405.46</v>
      </c>
      <c r="K307">
        <v>0.05</v>
      </c>
      <c r="L307">
        <v>3101.98</v>
      </c>
      <c r="M307" s="1" t="s">
        <v>28</v>
      </c>
    </row>
    <row r="308" spans="1:13" x14ac:dyDescent="0.3">
      <c r="A308" s="1" t="s">
        <v>798</v>
      </c>
      <c r="B308" s="2">
        <v>45833</v>
      </c>
      <c r="C308" s="1" t="s">
        <v>685</v>
      </c>
      <c r="D308" s="1" t="s">
        <v>686</v>
      </c>
      <c r="E308" s="1" t="s">
        <v>37</v>
      </c>
      <c r="F308" s="1" t="s">
        <v>69</v>
      </c>
      <c r="G308" s="1" t="s">
        <v>18</v>
      </c>
      <c r="H308" s="1" t="s">
        <v>97</v>
      </c>
      <c r="I308">
        <v>8</v>
      </c>
      <c r="J308">
        <v>10199.58</v>
      </c>
      <c r="K308">
        <v>0</v>
      </c>
      <c r="L308">
        <v>2914.34</v>
      </c>
      <c r="M308" s="1" t="s">
        <v>28</v>
      </c>
    </row>
    <row r="309" spans="1:13" x14ac:dyDescent="0.3">
      <c r="A309" s="1" t="s">
        <v>799</v>
      </c>
      <c r="B309" s="2">
        <v>45679</v>
      </c>
      <c r="C309" s="1" t="s">
        <v>102</v>
      </c>
      <c r="D309" s="1" t="s">
        <v>103</v>
      </c>
      <c r="E309" s="1" t="s">
        <v>74</v>
      </c>
      <c r="F309" s="1" t="s">
        <v>69</v>
      </c>
      <c r="G309" s="1" t="s">
        <v>26</v>
      </c>
      <c r="H309" s="1" t="s">
        <v>244</v>
      </c>
      <c r="I309">
        <v>6</v>
      </c>
      <c r="J309">
        <v>21409.94</v>
      </c>
      <c r="K309">
        <v>0.15</v>
      </c>
      <c r="L309">
        <v>4872.38</v>
      </c>
      <c r="M309" s="1" t="s">
        <v>28</v>
      </c>
    </row>
    <row r="310" spans="1:13" x14ac:dyDescent="0.3">
      <c r="A310" s="1" t="s">
        <v>800</v>
      </c>
      <c r="B310" s="2">
        <v>45895</v>
      </c>
      <c r="C310" s="1" t="s">
        <v>801</v>
      </c>
      <c r="D310" s="1" t="s">
        <v>802</v>
      </c>
      <c r="E310" s="1" t="s">
        <v>24</v>
      </c>
      <c r="F310" s="1" t="s">
        <v>69</v>
      </c>
      <c r="G310" s="1" t="s">
        <v>32</v>
      </c>
      <c r="H310" s="1" t="s">
        <v>59</v>
      </c>
      <c r="I310">
        <v>2</v>
      </c>
      <c r="J310">
        <v>14683.01</v>
      </c>
      <c r="K310">
        <v>0.1</v>
      </c>
      <c r="L310">
        <v>3094.81</v>
      </c>
      <c r="M310" s="1" t="s">
        <v>28</v>
      </c>
    </row>
    <row r="311" spans="1:13" x14ac:dyDescent="0.3">
      <c r="A311" s="1" t="s">
        <v>803</v>
      </c>
      <c r="B311" s="2">
        <v>45815</v>
      </c>
      <c r="C311" s="1" t="s">
        <v>338</v>
      </c>
      <c r="D311" s="1" t="s">
        <v>339</v>
      </c>
      <c r="E311" s="1" t="s">
        <v>74</v>
      </c>
      <c r="F311" s="1" t="s">
        <v>69</v>
      </c>
      <c r="G311" s="1" t="s">
        <v>44</v>
      </c>
      <c r="H311" s="1" t="s">
        <v>155</v>
      </c>
      <c r="I311">
        <v>7</v>
      </c>
      <c r="J311">
        <v>64349.86</v>
      </c>
      <c r="K311">
        <v>0</v>
      </c>
      <c r="L311">
        <v>12308.81</v>
      </c>
      <c r="M311" s="1" t="s">
        <v>39</v>
      </c>
    </row>
    <row r="312" spans="1:13" x14ac:dyDescent="0.3">
      <c r="A312" s="1" t="s">
        <v>804</v>
      </c>
      <c r="B312" s="2">
        <v>45695</v>
      </c>
      <c r="C312" s="1" t="s">
        <v>805</v>
      </c>
      <c r="D312" s="1" t="s">
        <v>806</v>
      </c>
      <c r="E312" s="1" t="s">
        <v>43</v>
      </c>
      <c r="F312" s="1" t="s">
        <v>69</v>
      </c>
      <c r="G312" s="1" t="s">
        <v>44</v>
      </c>
      <c r="H312" s="1" t="s">
        <v>90</v>
      </c>
      <c r="I312">
        <v>8</v>
      </c>
      <c r="J312">
        <v>59484.2</v>
      </c>
      <c r="K312">
        <v>0.1</v>
      </c>
      <c r="L312">
        <v>13082.12</v>
      </c>
      <c r="M312" s="1" t="s">
        <v>39</v>
      </c>
    </row>
    <row r="313" spans="1:13" x14ac:dyDescent="0.3">
      <c r="A313" s="1" t="s">
        <v>807</v>
      </c>
      <c r="B313" s="2">
        <v>45887</v>
      </c>
      <c r="C313" s="1" t="s">
        <v>808</v>
      </c>
      <c r="D313" s="1" t="s">
        <v>809</v>
      </c>
      <c r="E313" s="1" t="s">
        <v>74</v>
      </c>
      <c r="F313" s="1" t="s">
        <v>25</v>
      </c>
      <c r="G313" s="1" t="s">
        <v>18</v>
      </c>
      <c r="H313" s="1" t="s">
        <v>122</v>
      </c>
      <c r="I313">
        <v>4</v>
      </c>
      <c r="J313">
        <v>7965.56</v>
      </c>
      <c r="K313">
        <v>0</v>
      </c>
      <c r="L313">
        <v>2554.75</v>
      </c>
      <c r="M313" s="1" t="s">
        <v>28</v>
      </c>
    </row>
    <row r="314" spans="1:13" x14ac:dyDescent="0.3">
      <c r="A314" s="1" t="s">
        <v>810</v>
      </c>
      <c r="B314" s="2">
        <v>46022</v>
      </c>
      <c r="C314" s="1" t="s">
        <v>427</v>
      </c>
      <c r="D314" s="1" t="s">
        <v>428</v>
      </c>
      <c r="E314" s="1" t="s">
        <v>37</v>
      </c>
      <c r="F314" s="1" t="s">
        <v>69</v>
      </c>
      <c r="G314" s="1" t="s">
        <v>32</v>
      </c>
      <c r="H314" s="1" t="s">
        <v>59</v>
      </c>
      <c r="I314">
        <v>9</v>
      </c>
      <c r="J314">
        <v>86995.45</v>
      </c>
      <c r="K314">
        <v>0.2</v>
      </c>
      <c r="L314">
        <v>15226.07</v>
      </c>
      <c r="M314" s="1" t="s">
        <v>55</v>
      </c>
    </row>
    <row r="315" spans="1:13" x14ac:dyDescent="0.3">
      <c r="A315" s="1" t="s">
        <v>811</v>
      </c>
      <c r="B315" s="2">
        <v>45708</v>
      </c>
      <c r="C315" s="1" t="s">
        <v>540</v>
      </c>
      <c r="D315" s="1" t="s">
        <v>541</v>
      </c>
      <c r="E315" s="1" t="s">
        <v>43</v>
      </c>
      <c r="F315" s="1" t="s">
        <v>25</v>
      </c>
      <c r="G315" s="1" t="s">
        <v>18</v>
      </c>
      <c r="H315" s="1" t="s">
        <v>145</v>
      </c>
      <c r="I315">
        <v>6</v>
      </c>
      <c r="J315">
        <v>9926.2800000000007</v>
      </c>
      <c r="K315">
        <v>0.15</v>
      </c>
      <c r="L315">
        <v>2708.34</v>
      </c>
      <c r="M315" s="1" t="s">
        <v>50</v>
      </c>
    </row>
    <row r="316" spans="1:13" x14ac:dyDescent="0.3">
      <c r="A316" s="1" t="s">
        <v>812</v>
      </c>
      <c r="B316" s="2">
        <v>45921</v>
      </c>
      <c r="C316" s="1" t="s">
        <v>267</v>
      </c>
      <c r="D316" s="1" t="s">
        <v>268</v>
      </c>
      <c r="E316" s="1" t="s">
        <v>43</v>
      </c>
      <c r="F316" s="1" t="s">
        <v>69</v>
      </c>
      <c r="G316" s="1" t="s">
        <v>26</v>
      </c>
      <c r="H316" s="1" t="s">
        <v>244</v>
      </c>
      <c r="I316">
        <v>4</v>
      </c>
      <c r="J316">
        <v>15184.84</v>
      </c>
      <c r="K316">
        <v>0.1</v>
      </c>
      <c r="L316">
        <v>3695.64</v>
      </c>
      <c r="M316" s="1" t="s">
        <v>28</v>
      </c>
    </row>
    <row r="317" spans="1:13" x14ac:dyDescent="0.3">
      <c r="A317" s="1" t="s">
        <v>813</v>
      </c>
      <c r="B317" s="2">
        <v>45940</v>
      </c>
      <c r="C317" s="1" t="s">
        <v>814</v>
      </c>
      <c r="D317" s="1" t="s">
        <v>815</v>
      </c>
      <c r="E317" s="1" t="s">
        <v>37</v>
      </c>
      <c r="F317" s="1" t="s">
        <v>17</v>
      </c>
      <c r="G317" s="1" t="s">
        <v>18</v>
      </c>
      <c r="H317" s="1" t="s">
        <v>141</v>
      </c>
      <c r="I317">
        <v>3</v>
      </c>
      <c r="J317">
        <v>6327.26</v>
      </c>
      <c r="K317">
        <v>0.15</v>
      </c>
      <c r="L317">
        <v>1896.09</v>
      </c>
      <c r="M317" s="1" t="s">
        <v>55</v>
      </c>
    </row>
    <row r="318" spans="1:13" x14ac:dyDescent="0.3">
      <c r="A318" s="1" t="s">
        <v>816</v>
      </c>
      <c r="B318" s="2">
        <v>45684</v>
      </c>
      <c r="C318" s="1" t="s">
        <v>61</v>
      </c>
      <c r="D318" s="1" t="s">
        <v>62</v>
      </c>
      <c r="E318" s="1" t="s">
        <v>37</v>
      </c>
      <c r="F318" s="1" t="s">
        <v>17</v>
      </c>
      <c r="G318" s="1" t="s">
        <v>32</v>
      </c>
      <c r="H318" s="1" t="s">
        <v>54</v>
      </c>
      <c r="I318">
        <v>6</v>
      </c>
      <c r="J318">
        <v>51589.79</v>
      </c>
      <c r="K318">
        <v>0.1</v>
      </c>
      <c r="L318">
        <v>11965.44</v>
      </c>
      <c r="M318" s="1" t="s">
        <v>55</v>
      </c>
    </row>
    <row r="319" spans="1:13" x14ac:dyDescent="0.3">
      <c r="A319" s="1" t="s">
        <v>817</v>
      </c>
      <c r="B319" s="2">
        <v>45883</v>
      </c>
      <c r="C319" s="1" t="s">
        <v>818</v>
      </c>
      <c r="D319" s="1" t="s">
        <v>819</v>
      </c>
      <c r="E319" s="1" t="s">
        <v>24</v>
      </c>
      <c r="F319" s="1" t="s">
        <v>25</v>
      </c>
      <c r="G319" s="1" t="s">
        <v>44</v>
      </c>
      <c r="H319" s="1" t="s">
        <v>90</v>
      </c>
      <c r="I319">
        <v>2</v>
      </c>
      <c r="J319">
        <v>10189.89</v>
      </c>
      <c r="K319">
        <v>0.2</v>
      </c>
      <c r="L319">
        <v>1509.31</v>
      </c>
      <c r="M319" s="1" t="s">
        <v>50</v>
      </c>
    </row>
    <row r="320" spans="1:13" x14ac:dyDescent="0.3">
      <c r="A320" s="1" t="s">
        <v>820</v>
      </c>
      <c r="B320" s="2">
        <v>45934</v>
      </c>
      <c r="C320" s="1" t="s">
        <v>533</v>
      </c>
      <c r="D320" s="1" t="s">
        <v>534</v>
      </c>
      <c r="E320" s="1" t="s">
        <v>24</v>
      </c>
      <c r="F320" s="1" t="s">
        <v>17</v>
      </c>
      <c r="G320" s="1" t="s">
        <v>32</v>
      </c>
      <c r="H320" s="1" t="s">
        <v>38</v>
      </c>
      <c r="I320">
        <v>2</v>
      </c>
      <c r="J320">
        <v>18167.599999999999</v>
      </c>
      <c r="K320">
        <v>0.1</v>
      </c>
      <c r="L320">
        <v>4464.29</v>
      </c>
      <c r="M320" s="1" t="s">
        <v>20</v>
      </c>
    </row>
    <row r="321" spans="1:13" x14ac:dyDescent="0.3">
      <c r="A321" s="1" t="s">
        <v>821</v>
      </c>
      <c r="B321" s="2">
        <v>45943</v>
      </c>
      <c r="C321" s="1" t="s">
        <v>571</v>
      </c>
      <c r="D321" s="1" t="s">
        <v>572</v>
      </c>
      <c r="E321" s="1" t="s">
        <v>24</v>
      </c>
      <c r="F321" s="1" t="s">
        <v>25</v>
      </c>
      <c r="G321" s="1" t="s">
        <v>32</v>
      </c>
      <c r="H321" s="1" t="s">
        <v>79</v>
      </c>
      <c r="I321">
        <v>9</v>
      </c>
      <c r="J321">
        <v>129775.07</v>
      </c>
      <c r="K321">
        <v>0.15</v>
      </c>
      <c r="L321">
        <v>24177.34</v>
      </c>
      <c r="M321" s="1" t="s">
        <v>28</v>
      </c>
    </row>
    <row r="322" spans="1:13" x14ac:dyDescent="0.3">
      <c r="A322" s="1" t="s">
        <v>822</v>
      </c>
      <c r="B322" s="2">
        <v>45754</v>
      </c>
      <c r="C322" s="1" t="s">
        <v>823</v>
      </c>
      <c r="D322" s="1" t="s">
        <v>824</v>
      </c>
      <c r="E322" s="1" t="s">
        <v>24</v>
      </c>
      <c r="F322" s="1" t="s">
        <v>17</v>
      </c>
      <c r="G322" s="1" t="s">
        <v>32</v>
      </c>
      <c r="H322" s="1" t="s">
        <v>59</v>
      </c>
      <c r="I322">
        <v>2</v>
      </c>
      <c r="J322">
        <v>37206.89</v>
      </c>
      <c r="K322">
        <v>0.1</v>
      </c>
      <c r="L322">
        <v>6513.52</v>
      </c>
      <c r="M322" s="1" t="s">
        <v>28</v>
      </c>
    </row>
    <row r="323" spans="1:13" x14ac:dyDescent="0.3">
      <c r="A323" s="1" t="s">
        <v>825</v>
      </c>
      <c r="B323" s="2">
        <v>45941</v>
      </c>
      <c r="C323" s="1" t="s">
        <v>716</v>
      </c>
      <c r="D323" s="1" t="s">
        <v>717</v>
      </c>
      <c r="E323" s="1" t="s">
        <v>24</v>
      </c>
      <c r="F323" s="1" t="s">
        <v>69</v>
      </c>
      <c r="G323" s="1" t="s">
        <v>18</v>
      </c>
      <c r="H323" s="1" t="s">
        <v>97</v>
      </c>
      <c r="I323">
        <v>10</v>
      </c>
      <c r="J323">
        <v>18441.310000000001</v>
      </c>
      <c r="K323">
        <v>0.1</v>
      </c>
      <c r="L323">
        <v>6037.32</v>
      </c>
      <c r="M323" s="1" t="s">
        <v>55</v>
      </c>
    </row>
    <row r="324" spans="1:13" x14ac:dyDescent="0.3">
      <c r="A324" s="1" t="s">
        <v>826</v>
      </c>
      <c r="B324" s="2">
        <v>45974</v>
      </c>
      <c r="C324" s="1" t="s">
        <v>550</v>
      </c>
      <c r="D324" s="1" t="s">
        <v>551</v>
      </c>
      <c r="E324" s="1" t="s">
        <v>16</v>
      </c>
      <c r="F324" s="1" t="s">
        <v>25</v>
      </c>
      <c r="G324" s="1" t="s">
        <v>32</v>
      </c>
      <c r="H324" s="1" t="s">
        <v>54</v>
      </c>
      <c r="I324">
        <v>1</v>
      </c>
      <c r="J324">
        <v>9724.4500000000007</v>
      </c>
      <c r="K324">
        <v>0.1</v>
      </c>
      <c r="L324">
        <v>1905.4</v>
      </c>
      <c r="M324" s="1" t="s">
        <v>28</v>
      </c>
    </row>
    <row r="325" spans="1:13" x14ac:dyDescent="0.3">
      <c r="A325" s="1" t="s">
        <v>827</v>
      </c>
      <c r="B325" s="2">
        <v>45961</v>
      </c>
      <c r="C325" s="1" t="s">
        <v>410</v>
      </c>
      <c r="D325" s="1" t="s">
        <v>411</v>
      </c>
      <c r="E325" s="1" t="s">
        <v>16</v>
      </c>
      <c r="F325" s="1" t="s">
        <v>25</v>
      </c>
      <c r="G325" s="1" t="s">
        <v>32</v>
      </c>
      <c r="H325" s="1" t="s">
        <v>38</v>
      </c>
      <c r="I325">
        <v>5</v>
      </c>
      <c r="J325">
        <v>42129.41</v>
      </c>
      <c r="K325">
        <v>0.05</v>
      </c>
      <c r="L325">
        <v>10332.1</v>
      </c>
      <c r="M325" s="1" t="s">
        <v>28</v>
      </c>
    </row>
    <row r="326" spans="1:13" x14ac:dyDescent="0.3">
      <c r="A326" s="1" t="s">
        <v>828</v>
      </c>
      <c r="B326" s="2">
        <v>45804</v>
      </c>
      <c r="C326" s="1" t="s">
        <v>95</v>
      </c>
      <c r="D326" s="1" t="s">
        <v>96</v>
      </c>
      <c r="E326" s="1" t="s">
        <v>16</v>
      </c>
      <c r="F326" s="1" t="s">
        <v>25</v>
      </c>
      <c r="G326" s="1" t="s">
        <v>18</v>
      </c>
      <c r="H326" s="1" t="s">
        <v>145</v>
      </c>
      <c r="I326">
        <v>4</v>
      </c>
      <c r="J326">
        <v>4353.57</v>
      </c>
      <c r="K326">
        <v>0.15</v>
      </c>
      <c r="L326">
        <v>1351.97</v>
      </c>
      <c r="M326" s="1" t="s">
        <v>20</v>
      </c>
    </row>
    <row r="327" spans="1:13" x14ac:dyDescent="0.3">
      <c r="A327" s="1" t="s">
        <v>829</v>
      </c>
      <c r="B327" s="2">
        <v>45661</v>
      </c>
      <c r="C327" s="1" t="s">
        <v>105</v>
      </c>
      <c r="D327" s="1" t="s">
        <v>106</v>
      </c>
      <c r="E327" s="1" t="s">
        <v>16</v>
      </c>
      <c r="F327" s="1" t="s">
        <v>25</v>
      </c>
      <c r="G327" s="1" t="s">
        <v>32</v>
      </c>
      <c r="H327" s="1" t="s">
        <v>38</v>
      </c>
      <c r="I327">
        <v>2</v>
      </c>
      <c r="J327">
        <v>22811.24</v>
      </c>
      <c r="K327">
        <v>0.15</v>
      </c>
      <c r="L327">
        <v>4007.21</v>
      </c>
      <c r="M327" s="1" t="s">
        <v>28</v>
      </c>
    </row>
    <row r="328" spans="1:13" x14ac:dyDescent="0.3">
      <c r="A328" s="1" t="s">
        <v>830</v>
      </c>
      <c r="B328" s="2">
        <v>45692</v>
      </c>
      <c r="C328" s="1" t="s">
        <v>808</v>
      </c>
      <c r="D328" s="1" t="s">
        <v>809</v>
      </c>
      <c r="E328" s="1" t="s">
        <v>74</v>
      </c>
      <c r="F328" s="1" t="s">
        <v>25</v>
      </c>
      <c r="G328" s="1" t="s">
        <v>18</v>
      </c>
      <c r="H328" s="1" t="s">
        <v>97</v>
      </c>
      <c r="I328">
        <v>4</v>
      </c>
      <c r="J328">
        <v>8271.86</v>
      </c>
      <c r="K328">
        <v>0.2</v>
      </c>
      <c r="L328">
        <v>2148.44</v>
      </c>
      <c r="M328" s="1" t="s">
        <v>28</v>
      </c>
    </row>
    <row r="329" spans="1:13" x14ac:dyDescent="0.3">
      <c r="A329" s="1" t="s">
        <v>831</v>
      </c>
      <c r="B329" s="2">
        <v>45849</v>
      </c>
      <c r="C329" s="1" t="s">
        <v>205</v>
      </c>
      <c r="D329" s="1" t="s">
        <v>206</v>
      </c>
      <c r="E329" s="1" t="s">
        <v>16</v>
      </c>
      <c r="F329" s="1" t="s">
        <v>69</v>
      </c>
      <c r="G329" s="1" t="s">
        <v>18</v>
      </c>
      <c r="H329" s="1" t="s">
        <v>122</v>
      </c>
      <c r="I329">
        <v>9</v>
      </c>
      <c r="J329">
        <v>17748.43</v>
      </c>
      <c r="K329">
        <v>0</v>
      </c>
      <c r="L329">
        <v>4162.53</v>
      </c>
      <c r="M329" s="1" t="s">
        <v>50</v>
      </c>
    </row>
    <row r="330" spans="1:13" x14ac:dyDescent="0.3">
      <c r="A330" s="1" t="s">
        <v>832</v>
      </c>
      <c r="B330" s="2">
        <v>45706</v>
      </c>
      <c r="C330" s="1" t="s">
        <v>833</v>
      </c>
      <c r="D330" s="1" t="s">
        <v>834</v>
      </c>
      <c r="E330" s="1" t="s">
        <v>43</v>
      </c>
      <c r="F330" s="1" t="s">
        <v>25</v>
      </c>
      <c r="G330" s="1" t="s">
        <v>18</v>
      </c>
      <c r="H330" s="1" t="s">
        <v>97</v>
      </c>
      <c r="I330">
        <v>10</v>
      </c>
      <c r="J330">
        <v>16111.36</v>
      </c>
      <c r="K330">
        <v>0.1</v>
      </c>
      <c r="L330">
        <v>3894.57</v>
      </c>
      <c r="M330" s="1" t="s">
        <v>28</v>
      </c>
    </row>
    <row r="331" spans="1:13" x14ac:dyDescent="0.3">
      <c r="A331" s="1" t="s">
        <v>835</v>
      </c>
      <c r="B331" s="2">
        <v>45674</v>
      </c>
      <c r="C331" s="1" t="s">
        <v>249</v>
      </c>
      <c r="D331" s="1" t="s">
        <v>250</v>
      </c>
      <c r="E331" s="1" t="s">
        <v>37</v>
      </c>
      <c r="F331" s="1" t="s">
        <v>17</v>
      </c>
      <c r="G331" s="1" t="s">
        <v>18</v>
      </c>
      <c r="H331" s="1" t="s">
        <v>19</v>
      </c>
      <c r="I331">
        <v>5</v>
      </c>
      <c r="J331">
        <v>10675.84</v>
      </c>
      <c r="K331">
        <v>0.1</v>
      </c>
      <c r="L331">
        <v>2932.06</v>
      </c>
      <c r="M331" s="1" t="s">
        <v>50</v>
      </c>
    </row>
    <row r="332" spans="1:13" x14ac:dyDescent="0.3">
      <c r="A332" s="1" t="s">
        <v>836</v>
      </c>
      <c r="B332" s="2">
        <v>45829</v>
      </c>
      <c r="C332" s="1" t="s">
        <v>346</v>
      </c>
      <c r="D332" s="1" t="s">
        <v>347</v>
      </c>
      <c r="E332" s="1" t="s">
        <v>37</v>
      </c>
      <c r="F332" s="1" t="s">
        <v>25</v>
      </c>
      <c r="G332" s="1" t="s">
        <v>44</v>
      </c>
      <c r="H332" s="1" t="s">
        <v>45</v>
      </c>
      <c r="I332">
        <v>7</v>
      </c>
      <c r="J332">
        <v>36715.620000000003</v>
      </c>
      <c r="K332">
        <v>0.15</v>
      </c>
      <c r="L332">
        <v>6695.46</v>
      </c>
      <c r="M332" s="1" t="s">
        <v>28</v>
      </c>
    </row>
    <row r="333" spans="1:13" x14ac:dyDescent="0.3">
      <c r="A333" s="1" t="s">
        <v>837</v>
      </c>
      <c r="B333" s="2">
        <v>45877</v>
      </c>
      <c r="C333" s="1" t="s">
        <v>838</v>
      </c>
      <c r="D333" s="1" t="s">
        <v>839</v>
      </c>
      <c r="E333" s="1" t="s">
        <v>16</v>
      </c>
      <c r="F333" s="1" t="s">
        <v>25</v>
      </c>
      <c r="G333" s="1" t="s">
        <v>18</v>
      </c>
      <c r="H333" s="1" t="s">
        <v>19</v>
      </c>
      <c r="I333">
        <v>5</v>
      </c>
      <c r="J333">
        <v>11246.36</v>
      </c>
      <c r="K333">
        <v>0.05</v>
      </c>
      <c r="L333">
        <v>3560.1</v>
      </c>
      <c r="M333" s="1" t="s">
        <v>28</v>
      </c>
    </row>
    <row r="334" spans="1:13" x14ac:dyDescent="0.3">
      <c r="A334" s="1" t="s">
        <v>840</v>
      </c>
      <c r="B334" s="2">
        <v>45815</v>
      </c>
      <c r="C334" s="1" t="s">
        <v>841</v>
      </c>
      <c r="D334" s="1" t="s">
        <v>842</v>
      </c>
      <c r="E334" s="1" t="s">
        <v>37</v>
      </c>
      <c r="F334" s="1" t="s">
        <v>17</v>
      </c>
      <c r="G334" s="1" t="s">
        <v>32</v>
      </c>
      <c r="H334" s="1" t="s">
        <v>79</v>
      </c>
      <c r="I334">
        <v>3</v>
      </c>
      <c r="J334">
        <v>43785.47</v>
      </c>
      <c r="K334">
        <v>0.15</v>
      </c>
      <c r="L334">
        <v>10084.450000000001</v>
      </c>
      <c r="M334" s="1" t="s">
        <v>50</v>
      </c>
    </row>
    <row r="335" spans="1:13" x14ac:dyDescent="0.3">
      <c r="A335" s="1" t="s">
        <v>843</v>
      </c>
      <c r="B335" s="2">
        <v>45703</v>
      </c>
      <c r="C335" s="1" t="s">
        <v>124</v>
      </c>
      <c r="D335" s="1" t="s">
        <v>125</v>
      </c>
      <c r="E335" s="1" t="s">
        <v>74</v>
      </c>
      <c r="F335" s="1" t="s">
        <v>25</v>
      </c>
      <c r="G335" s="1" t="s">
        <v>18</v>
      </c>
      <c r="H335" s="1" t="s">
        <v>122</v>
      </c>
      <c r="I335">
        <v>10</v>
      </c>
      <c r="J335">
        <v>21244.26</v>
      </c>
      <c r="K335">
        <v>0.05</v>
      </c>
      <c r="L335">
        <v>6214.65</v>
      </c>
      <c r="M335" s="1" t="s">
        <v>50</v>
      </c>
    </row>
    <row r="336" spans="1:13" x14ac:dyDescent="0.3">
      <c r="A336" s="1" t="s">
        <v>844</v>
      </c>
      <c r="B336" s="2">
        <v>45663</v>
      </c>
      <c r="C336" s="1" t="s">
        <v>764</v>
      </c>
      <c r="D336" s="1" t="s">
        <v>765</v>
      </c>
      <c r="E336" s="1" t="s">
        <v>24</v>
      </c>
      <c r="F336" s="1" t="s">
        <v>25</v>
      </c>
      <c r="G336" s="1" t="s">
        <v>32</v>
      </c>
      <c r="H336" s="1" t="s">
        <v>59</v>
      </c>
      <c r="I336">
        <v>4</v>
      </c>
      <c r="J336">
        <v>70077.460000000006</v>
      </c>
      <c r="K336">
        <v>0</v>
      </c>
      <c r="L336">
        <v>18899.259999999998</v>
      </c>
      <c r="M336" s="1" t="s">
        <v>28</v>
      </c>
    </row>
    <row r="337" spans="1:13" x14ac:dyDescent="0.3">
      <c r="A337" s="1" t="s">
        <v>845</v>
      </c>
      <c r="B337" s="2">
        <v>45756</v>
      </c>
      <c r="C337" s="1" t="s">
        <v>229</v>
      </c>
      <c r="D337" s="1" t="s">
        <v>230</v>
      </c>
      <c r="E337" s="1" t="s">
        <v>24</v>
      </c>
      <c r="F337" s="1" t="s">
        <v>25</v>
      </c>
      <c r="G337" s="1" t="s">
        <v>44</v>
      </c>
      <c r="H337" s="1" t="s">
        <v>75</v>
      </c>
      <c r="I337">
        <v>10</v>
      </c>
      <c r="J337">
        <v>57001.78</v>
      </c>
      <c r="K337">
        <v>0.05</v>
      </c>
      <c r="L337">
        <v>7568.99</v>
      </c>
      <c r="M337" s="1" t="s">
        <v>50</v>
      </c>
    </row>
    <row r="338" spans="1:13" x14ac:dyDescent="0.3">
      <c r="A338" s="1" t="s">
        <v>846</v>
      </c>
      <c r="B338" s="2">
        <v>45890</v>
      </c>
      <c r="C338" s="1" t="s">
        <v>501</v>
      </c>
      <c r="D338" s="1" t="s">
        <v>502</v>
      </c>
      <c r="E338" s="1" t="s">
        <v>37</v>
      </c>
      <c r="F338" s="1" t="s">
        <v>25</v>
      </c>
      <c r="G338" s="1" t="s">
        <v>18</v>
      </c>
      <c r="H338" s="1" t="s">
        <v>122</v>
      </c>
      <c r="I338">
        <v>2</v>
      </c>
      <c r="J338">
        <v>3277.33</v>
      </c>
      <c r="K338">
        <v>0.25</v>
      </c>
      <c r="L338">
        <v>770.31</v>
      </c>
      <c r="M338" s="1" t="s">
        <v>20</v>
      </c>
    </row>
    <row r="339" spans="1:13" x14ac:dyDescent="0.3">
      <c r="A339" s="1" t="s">
        <v>847</v>
      </c>
      <c r="B339" s="2">
        <v>45694</v>
      </c>
      <c r="C339" s="1" t="s">
        <v>22</v>
      </c>
      <c r="D339" s="1" t="s">
        <v>23</v>
      </c>
      <c r="E339" s="1" t="s">
        <v>43</v>
      </c>
      <c r="F339" s="1" t="s">
        <v>25</v>
      </c>
      <c r="G339" s="1" t="s">
        <v>18</v>
      </c>
      <c r="H339" s="1" t="s">
        <v>145</v>
      </c>
      <c r="I339">
        <v>5</v>
      </c>
      <c r="J339">
        <v>9322.39</v>
      </c>
      <c r="K339">
        <v>0.1</v>
      </c>
      <c r="L339">
        <v>2999.26</v>
      </c>
      <c r="M339" s="1" t="s">
        <v>55</v>
      </c>
    </row>
    <row r="340" spans="1:13" x14ac:dyDescent="0.3">
      <c r="A340" s="1" t="s">
        <v>848</v>
      </c>
      <c r="B340" s="2">
        <v>45937</v>
      </c>
      <c r="C340" s="1" t="s">
        <v>136</v>
      </c>
      <c r="D340" s="1" t="s">
        <v>137</v>
      </c>
      <c r="E340" s="1" t="s">
        <v>74</v>
      </c>
      <c r="F340" s="1" t="s">
        <v>25</v>
      </c>
      <c r="G340" s="1" t="s">
        <v>32</v>
      </c>
      <c r="H340" s="1" t="s">
        <v>38</v>
      </c>
      <c r="I340">
        <v>4</v>
      </c>
      <c r="J340">
        <v>58236.26</v>
      </c>
      <c r="K340">
        <v>0.1</v>
      </c>
      <c r="L340">
        <v>14777.63</v>
      </c>
      <c r="M340" s="1" t="s">
        <v>50</v>
      </c>
    </row>
    <row r="341" spans="1:13" x14ac:dyDescent="0.3">
      <c r="A341" s="1" t="s">
        <v>849</v>
      </c>
      <c r="B341" s="2">
        <v>46006</v>
      </c>
      <c r="C341" s="1" t="s">
        <v>604</v>
      </c>
      <c r="D341" s="1" t="s">
        <v>605</v>
      </c>
      <c r="E341" s="1" t="s">
        <v>74</v>
      </c>
      <c r="F341" s="1" t="s">
        <v>25</v>
      </c>
      <c r="G341" s="1" t="s">
        <v>44</v>
      </c>
      <c r="H341" s="1" t="s">
        <v>45</v>
      </c>
      <c r="I341">
        <v>4</v>
      </c>
      <c r="J341">
        <v>31617.23</v>
      </c>
      <c r="K341">
        <v>0.05</v>
      </c>
      <c r="L341">
        <v>5508.88</v>
      </c>
      <c r="M341" s="1" t="s">
        <v>28</v>
      </c>
    </row>
    <row r="342" spans="1:13" x14ac:dyDescent="0.3">
      <c r="A342" s="1" t="s">
        <v>850</v>
      </c>
      <c r="B342" s="2">
        <v>45959</v>
      </c>
      <c r="C342" s="1" t="s">
        <v>661</v>
      </c>
      <c r="D342" s="1" t="s">
        <v>662</v>
      </c>
      <c r="E342" s="1" t="s">
        <v>16</v>
      </c>
      <c r="F342" s="1" t="s">
        <v>69</v>
      </c>
      <c r="G342" s="1" t="s">
        <v>44</v>
      </c>
      <c r="H342" s="1" t="s">
        <v>90</v>
      </c>
      <c r="I342">
        <v>1</v>
      </c>
      <c r="J342">
        <v>10499.54</v>
      </c>
      <c r="K342">
        <v>0.2</v>
      </c>
      <c r="L342">
        <v>2047.19</v>
      </c>
      <c r="M342" s="1" t="s">
        <v>28</v>
      </c>
    </row>
    <row r="343" spans="1:13" x14ac:dyDescent="0.3">
      <c r="A343" s="1" t="s">
        <v>851</v>
      </c>
      <c r="B343" s="2">
        <v>45838</v>
      </c>
      <c r="C343" s="1" t="s">
        <v>258</v>
      </c>
      <c r="D343" s="1" t="s">
        <v>259</v>
      </c>
      <c r="E343" s="1" t="s">
        <v>24</v>
      </c>
      <c r="F343" s="1" t="s">
        <v>25</v>
      </c>
      <c r="G343" s="1" t="s">
        <v>18</v>
      </c>
      <c r="H343" s="1" t="s">
        <v>19</v>
      </c>
      <c r="I343">
        <v>5</v>
      </c>
      <c r="J343">
        <v>10223.31</v>
      </c>
      <c r="K343">
        <v>0.1</v>
      </c>
      <c r="L343">
        <v>2611.5300000000002</v>
      </c>
      <c r="M343" s="1" t="s">
        <v>28</v>
      </c>
    </row>
    <row r="344" spans="1:13" x14ac:dyDescent="0.3">
      <c r="A344" s="1" t="s">
        <v>852</v>
      </c>
      <c r="B344" s="2">
        <v>45752</v>
      </c>
      <c r="C344" s="1" t="s">
        <v>853</v>
      </c>
      <c r="D344" s="1" t="s">
        <v>854</v>
      </c>
      <c r="E344" s="1" t="s">
        <v>74</v>
      </c>
      <c r="F344" s="1" t="s">
        <v>69</v>
      </c>
      <c r="G344" s="1" t="s">
        <v>18</v>
      </c>
      <c r="H344" s="1" t="s">
        <v>145</v>
      </c>
      <c r="I344">
        <v>9</v>
      </c>
      <c r="J344">
        <v>14296.33</v>
      </c>
      <c r="K344">
        <v>0.2</v>
      </c>
      <c r="L344">
        <v>3837.2</v>
      </c>
      <c r="M344" s="1" t="s">
        <v>50</v>
      </c>
    </row>
    <row r="345" spans="1:13" x14ac:dyDescent="0.3">
      <c r="A345" s="1" t="s">
        <v>855</v>
      </c>
      <c r="B345" s="2">
        <v>45756</v>
      </c>
      <c r="C345" s="1" t="s">
        <v>856</v>
      </c>
      <c r="D345" s="1" t="s">
        <v>857</v>
      </c>
      <c r="E345" s="1" t="s">
        <v>24</v>
      </c>
      <c r="F345" s="1" t="s">
        <v>25</v>
      </c>
      <c r="G345" s="1" t="s">
        <v>26</v>
      </c>
      <c r="H345" s="1" t="s">
        <v>231</v>
      </c>
      <c r="I345">
        <v>4</v>
      </c>
      <c r="J345">
        <v>8806.6</v>
      </c>
      <c r="K345">
        <v>0</v>
      </c>
      <c r="L345">
        <v>2492.02</v>
      </c>
      <c r="M345" s="1" t="s">
        <v>39</v>
      </c>
    </row>
    <row r="346" spans="1:13" x14ac:dyDescent="0.3">
      <c r="A346" s="1" t="s">
        <v>858</v>
      </c>
      <c r="B346" s="2">
        <v>45845</v>
      </c>
      <c r="C346" s="1" t="s">
        <v>859</v>
      </c>
      <c r="D346" s="1" t="s">
        <v>860</v>
      </c>
      <c r="E346" s="1" t="s">
        <v>37</v>
      </c>
      <c r="F346" s="1" t="s">
        <v>17</v>
      </c>
      <c r="G346" s="1" t="s">
        <v>18</v>
      </c>
      <c r="H346" s="1" t="s">
        <v>97</v>
      </c>
      <c r="I346">
        <v>1</v>
      </c>
      <c r="J346">
        <v>1409.44</v>
      </c>
      <c r="K346">
        <v>0.1</v>
      </c>
      <c r="L346">
        <v>369.04</v>
      </c>
      <c r="M346" s="1" t="s">
        <v>55</v>
      </c>
    </row>
    <row r="347" spans="1:13" x14ac:dyDescent="0.3">
      <c r="A347" s="1" t="s">
        <v>861</v>
      </c>
      <c r="B347" s="2">
        <v>45773</v>
      </c>
      <c r="C347" s="1" t="s">
        <v>326</v>
      </c>
      <c r="D347" s="1" t="s">
        <v>327</v>
      </c>
      <c r="E347" s="1" t="s">
        <v>37</v>
      </c>
      <c r="F347" s="1" t="s">
        <v>25</v>
      </c>
      <c r="G347" s="1" t="s">
        <v>26</v>
      </c>
      <c r="H347" s="1" t="s">
        <v>244</v>
      </c>
      <c r="I347">
        <v>3</v>
      </c>
      <c r="J347">
        <v>11679.52</v>
      </c>
      <c r="K347">
        <v>0</v>
      </c>
      <c r="L347">
        <v>3004.72</v>
      </c>
      <c r="M347" s="1" t="s">
        <v>28</v>
      </c>
    </row>
    <row r="348" spans="1:13" x14ac:dyDescent="0.3">
      <c r="A348" s="1" t="s">
        <v>862</v>
      </c>
      <c r="B348" s="2">
        <v>45848</v>
      </c>
      <c r="C348" s="1" t="s">
        <v>863</v>
      </c>
      <c r="D348" s="1" t="s">
        <v>864</v>
      </c>
      <c r="E348" s="1" t="s">
        <v>74</v>
      </c>
      <c r="F348" s="1" t="s">
        <v>69</v>
      </c>
      <c r="G348" s="1" t="s">
        <v>26</v>
      </c>
      <c r="H348" s="1" t="s">
        <v>231</v>
      </c>
      <c r="I348">
        <v>9</v>
      </c>
      <c r="J348">
        <v>21631.31</v>
      </c>
      <c r="K348">
        <v>0.1</v>
      </c>
      <c r="L348">
        <v>5661.14</v>
      </c>
      <c r="M348" s="1" t="s">
        <v>20</v>
      </c>
    </row>
    <row r="349" spans="1:13" x14ac:dyDescent="0.3">
      <c r="A349" s="1" t="s">
        <v>865</v>
      </c>
      <c r="B349" s="2">
        <v>45910</v>
      </c>
      <c r="C349" s="1" t="s">
        <v>866</v>
      </c>
      <c r="D349" s="1" t="s">
        <v>867</v>
      </c>
      <c r="E349" s="1" t="s">
        <v>37</v>
      </c>
      <c r="F349" s="1" t="s">
        <v>17</v>
      </c>
      <c r="G349" s="1" t="s">
        <v>32</v>
      </c>
      <c r="H349" s="1" t="s">
        <v>38</v>
      </c>
      <c r="I349">
        <v>10</v>
      </c>
      <c r="J349">
        <v>112794.06</v>
      </c>
      <c r="K349">
        <v>0.05</v>
      </c>
      <c r="L349">
        <v>27877.19</v>
      </c>
      <c r="M349" s="1" t="s">
        <v>50</v>
      </c>
    </row>
    <row r="350" spans="1:13" x14ac:dyDescent="0.3">
      <c r="A350" s="1" t="s">
        <v>868</v>
      </c>
      <c r="B350" s="2">
        <v>45818</v>
      </c>
      <c r="C350" s="1" t="s">
        <v>150</v>
      </c>
      <c r="D350" s="1" t="s">
        <v>151</v>
      </c>
      <c r="E350" s="1" t="s">
        <v>37</v>
      </c>
      <c r="F350" s="1" t="s">
        <v>25</v>
      </c>
      <c r="G350" s="1" t="s">
        <v>26</v>
      </c>
      <c r="H350" s="1" t="s">
        <v>231</v>
      </c>
      <c r="I350">
        <v>10</v>
      </c>
      <c r="J350">
        <v>21649.03</v>
      </c>
      <c r="K350">
        <v>0.2</v>
      </c>
      <c r="L350">
        <v>5462.51</v>
      </c>
      <c r="M350" s="1" t="s">
        <v>28</v>
      </c>
    </row>
    <row r="351" spans="1:13" x14ac:dyDescent="0.3">
      <c r="A351" s="1" t="s">
        <v>869</v>
      </c>
      <c r="B351" s="2">
        <v>45913</v>
      </c>
      <c r="C351" s="1" t="s">
        <v>870</v>
      </c>
      <c r="D351" s="1" t="s">
        <v>871</v>
      </c>
      <c r="E351" s="1" t="s">
        <v>16</v>
      </c>
      <c r="F351" s="1" t="s">
        <v>69</v>
      </c>
      <c r="G351" s="1" t="s">
        <v>18</v>
      </c>
      <c r="H351" s="1" t="s">
        <v>122</v>
      </c>
      <c r="I351">
        <v>1</v>
      </c>
      <c r="J351">
        <v>2473.79</v>
      </c>
      <c r="K351">
        <v>0.1</v>
      </c>
      <c r="L351">
        <v>602.54</v>
      </c>
      <c r="M351" s="1" t="s">
        <v>20</v>
      </c>
    </row>
    <row r="352" spans="1:13" x14ac:dyDescent="0.3">
      <c r="A352" s="1" t="s">
        <v>872</v>
      </c>
      <c r="B352" s="2">
        <v>45980</v>
      </c>
      <c r="C352" s="1" t="s">
        <v>833</v>
      </c>
      <c r="D352" s="1" t="s">
        <v>834</v>
      </c>
      <c r="E352" s="1" t="s">
        <v>43</v>
      </c>
      <c r="F352" s="1" t="s">
        <v>25</v>
      </c>
      <c r="G352" s="1" t="s">
        <v>32</v>
      </c>
      <c r="H352" s="1" t="s">
        <v>59</v>
      </c>
      <c r="I352">
        <v>6</v>
      </c>
      <c r="J352">
        <v>83648.73</v>
      </c>
      <c r="K352">
        <v>0.1</v>
      </c>
      <c r="L352">
        <v>21843.52</v>
      </c>
      <c r="M352" s="1" t="s">
        <v>28</v>
      </c>
    </row>
    <row r="353" spans="1:13" x14ac:dyDescent="0.3">
      <c r="A353" s="1" t="s">
        <v>873</v>
      </c>
      <c r="B353" s="2">
        <v>45785</v>
      </c>
      <c r="C353" s="1" t="s">
        <v>52</v>
      </c>
      <c r="D353" s="1" t="s">
        <v>53</v>
      </c>
      <c r="E353" s="1" t="s">
        <v>24</v>
      </c>
      <c r="F353" s="1" t="s">
        <v>69</v>
      </c>
      <c r="G353" s="1" t="s">
        <v>18</v>
      </c>
      <c r="H353" s="1" t="s">
        <v>141</v>
      </c>
      <c r="I353">
        <v>4</v>
      </c>
      <c r="J353">
        <v>7942.3</v>
      </c>
      <c r="K353">
        <v>0.1</v>
      </c>
      <c r="L353">
        <v>2427.37</v>
      </c>
      <c r="M353" s="1" t="s">
        <v>55</v>
      </c>
    </row>
    <row r="354" spans="1:13" x14ac:dyDescent="0.3">
      <c r="A354" s="1" t="s">
        <v>874</v>
      </c>
      <c r="B354" s="2">
        <v>45675</v>
      </c>
      <c r="C354" s="1" t="s">
        <v>875</v>
      </c>
      <c r="D354" s="1" t="s">
        <v>876</v>
      </c>
      <c r="E354" s="1" t="s">
        <v>43</v>
      </c>
      <c r="F354" s="1" t="s">
        <v>69</v>
      </c>
      <c r="G354" s="1" t="s">
        <v>18</v>
      </c>
      <c r="H354" s="1" t="s">
        <v>141</v>
      </c>
      <c r="I354">
        <v>9</v>
      </c>
      <c r="J354">
        <v>15031</v>
      </c>
      <c r="K354">
        <v>0</v>
      </c>
      <c r="L354">
        <v>3967.14</v>
      </c>
      <c r="M354" s="1" t="s">
        <v>55</v>
      </c>
    </row>
    <row r="355" spans="1:13" x14ac:dyDescent="0.3">
      <c r="A355" s="1" t="s">
        <v>877</v>
      </c>
      <c r="B355" s="2">
        <v>45938</v>
      </c>
      <c r="C355" s="1" t="s">
        <v>476</v>
      </c>
      <c r="D355" s="1" t="s">
        <v>477</v>
      </c>
      <c r="E355" s="1" t="s">
        <v>16</v>
      </c>
      <c r="F355" s="1" t="s">
        <v>25</v>
      </c>
      <c r="G355" s="1" t="s">
        <v>32</v>
      </c>
      <c r="H355" s="1" t="s">
        <v>38</v>
      </c>
      <c r="I355">
        <v>8</v>
      </c>
      <c r="J355">
        <v>172010.2</v>
      </c>
      <c r="K355">
        <v>0</v>
      </c>
      <c r="L355">
        <v>39802.81</v>
      </c>
      <c r="M355" s="1" t="s">
        <v>50</v>
      </c>
    </row>
    <row r="356" spans="1:13" x14ac:dyDescent="0.3">
      <c r="A356" s="1" t="s">
        <v>878</v>
      </c>
      <c r="B356" s="2">
        <v>45880</v>
      </c>
      <c r="C356" s="1" t="s">
        <v>223</v>
      </c>
      <c r="D356" s="1" t="s">
        <v>224</v>
      </c>
      <c r="E356" s="1" t="s">
        <v>43</v>
      </c>
      <c r="F356" s="1" t="s">
        <v>69</v>
      </c>
      <c r="G356" s="1" t="s">
        <v>18</v>
      </c>
      <c r="H356" s="1" t="s">
        <v>97</v>
      </c>
      <c r="I356">
        <v>7</v>
      </c>
      <c r="J356">
        <v>11328.33</v>
      </c>
      <c r="K356">
        <v>0.25</v>
      </c>
      <c r="L356">
        <v>2777.06</v>
      </c>
      <c r="M356" s="1" t="s">
        <v>55</v>
      </c>
    </row>
    <row r="357" spans="1:13" x14ac:dyDescent="0.3">
      <c r="A357" s="1" t="s">
        <v>879</v>
      </c>
      <c r="B357" s="2">
        <v>45711</v>
      </c>
      <c r="C357" s="1" t="s">
        <v>880</v>
      </c>
      <c r="D357" s="1" t="s">
        <v>881</v>
      </c>
      <c r="E357" s="1" t="s">
        <v>16</v>
      </c>
      <c r="F357" s="1" t="s">
        <v>25</v>
      </c>
      <c r="G357" s="1" t="s">
        <v>44</v>
      </c>
      <c r="H357" s="1" t="s">
        <v>45</v>
      </c>
      <c r="I357">
        <v>1</v>
      </c>
      <c r="J357">
        <v>5786.85</v>
      </c>
      <c r="K357">
        <v>0.1</v>
      </c>
      <c r="L357">
        <v>846.42</v>
      </c>
      <c r="M357" s="1" t="s">
        <v>50</v>
      </c>
    </row>
    <row r="358" spans="1:13" x14ac:dyDescent="0.3">
      <c r="A358" s="1" t="s">
        <v>882</v>
      </c>
      <c r="B358" s="2">
        <v>45715</v>
      </c>
      <c r="C358" s="1" t="s">
        <v>883</v>
      </c>
      <c r="D358" s="1" t="s">
        <v>884</v>
      </c>
      <c r="E358" s="1" t="s">
        <v>43</v>
      </c>
      <c r="F358" s="1" t="s">
        <v>69</v>
      </c>
      <c r="G358" s="1" t="s">
        <v>32</v>
      </c>
      <c r="H358" s="1" t="s">
        <v>79</v>
      </c>
      <c r="I358">
        <v>9</v>
      </c>
      <c r="J358">
        <v>81722.87</v>
      </c>
      <c r="K358">
        <v>0</v>
      </c>
      <c r="L358">
        <v>15970.78</v>
      </c>
      <c r="M358" s="1" t="s">
        <v>28</v>
      </c>
    </row>
    <row r="359" spans="1:13" x14ac:dyDescent="0.3">
      <c r="A359" s="1" t="s">
        <v>885</v>
      </c>
      <c r="B359" s="2">
        <v>45980</v>
      </c>
      <c r="C359" s="1" t="s">
        <v>545</v>
      </c>
      <c r="D359" s="1" t="s">
        <v>546</v>
      </c>
      <c r="E359" s="1" t="s">
        <v>24</v>
      </c>
      <c r="F359" s="1" t="s">
        <v>69</v>
      </c>
      <c r="G359" s="1" t="s">
        <v>18</v>
      </c>
      <c r="H359" s="1" t="s">
        <v>19</v>
      </c>
      <c r="I359">
        <v>2</v>
      </c>
      <c r="J359">
        <v>2079.61</v>
      </c>
      <c r="K359">
        <v>0.2</v>
      </c>
      <c r="L359">
        <v>594.42999999999995</v>
      </c>
      <c r="M359" s="1" t="s">
        <v>20</v>
      </c>
    </row>
    <row r="360" spans="1:13" x14ac:dyDescent="0.3">
      <c r="A360" s="1" t="s">
        <v>886</v>
      </c>
      <c r="B360" s="2">
        <v>46017</v>
      </c>
      <c r="C360" s="1" t="s">
        <v>887</v>
      </c>
      <c r="D360" s="1" t="s">
        <v>888</v>
      </c>
      <c r="E360" s="1" t="s">
        <v>43</v>
      </c>
      <c r="F360" s="1" t="s">
        <v>25</v>
      </c>
      <c r="G360" s="1" t="s">
        <v>18</v>
      </c>
      <c r="H360" s="1" t="s">
        <v>145</v>
      </c>
      <c r="I360">
        <v>7</v>
      </c>
      <c r="J360">
        <v>12598.32</v>
      </c>
      <c r="K360">
        <v>0.05</v>
      </c>
      <c r="L360">
        <v>3294.47</v>
      </c>
      <c r="M360" s="1" t="s">
        <v>20</v>
      </c>
    </row>
    <row r="361" spans="1:13" x14ac:dyDescent="0.3">
      <c r="A361" s="1" t="s">
        <v>889</v>
      </c>
      <c r="B361" s="2">
        <v>45831</v>
      </c>
      <c r="C361" s="1" t="s">
        <v>890</v>
      </c>
      <c r="D361" s="1" t="s">
        <v>891</v>
      </c>
      <c r="E361" s="1" t="s">
        <v>74</v>
      </c>
      <c r="F361" s="1" t="s">
        <v>25</v>
      </c>
      <c r="G361" s="1" t="s">
        <v>26</v>
      </c>
      <c r="H361" s="1" t="s">
        <v>86</v>
      </c>
      <c r="I361">
        <v>1</v>
      </c>
      <c r="J361">
        <v>2095.44</v>
      </c>
      <c r="K361">
        <v>0.25</v>
      </c>
      <c r="L361">
        <v>487.33</v>
      </c>
      <c r="M361" s="1" t="s">
        <v>55</v>
      </c>
    </row>
    <row r="362" spans="1:13" x14ac:dyDescent="0.3">
      <c r="A362" s="1" t="s">
        <v>892</v>
      </c>
      <c r="B362" s="2">
        <v>45937</v>
      </c>
      <c r="C362" s="1" t="s">
        <v>893</v>
      </c>
      <c r="D362" s="1" t="s">
        <v>894</v>
      </c>
      <c r="E362" s="1" t="s">
        <v>74</v>
      </c>
      <c r="F362" s="1" t="s">
        <v>25</v>
      </c>
      <c r="G362" s="1" t="s">
        <v>44</v>
      </c>
      <c r="H362" s="1" t="s">
        <v>70</v>
      </c>
      <c r="I362">
        <v>9</v>
      </c>
      <c r="J362">
        <v>117375.43</v>
      </c>
      <c r="K362">
        <v>0.05</v>
      </c>
      <c r="L362">
        <v>24483.64</v>
      </c>
      <c r="M362" s="1" t="s">
        <v>50</v>
      </c>
    </row>
    <row r="363" spans="1:13" x14ac:dyDescent="0.3">
      <c r="A363" s="1" t="s">
        <v>895</v>
      </c>
      <c r="B363" s="2">
        <v>45771</v>
      </c>
      <c r="C363" s="1" t="s">
        <v>567</v>
      </c>
      <c r="D363" s="1" t="s">
        <v>568</v>
      </c>
      <c r="E363" s="1" t="s">
        <v>24</v>
      </c>
      <c r="F363" s="1" t="s">
        <v>69</v>
      </c>
      <c r="G363" s="1" t="s">
        <v>18</v>
      </c>
      <c r="H363" s="1" t="s">
        <v>145</v>
      </c>
      <c r="I363">
        <v>5</v>
      </c>
      <c r="J363">
        <v>7572.4</v>
      </c>
      <c r="K363">
        <v>0.15</v>
      </c>
      <c r="L363">
        <v>2030.12</v>
      </c>
      <c r="M363" s="1" t="s">
        <v>28</v>
      </c>
    </row>
    <row r="364" spans="1:13" x14ac:dyDescent="0.3">
      <c r="A364" s="1" t="s">
        <v>896</v>
      </c>
      <c r="B364" s="2">
        <v>45945</v>
      </c>
      <c r="C364" s="1" t="s">
        <v>617</v>
      </c>
      <c r="D364" s="1" t="s">
        <v>618</v>
      </c>
      <c r="E364" s="1" t="s">
        <v>74</v>
      </c>
      <c r="F364" s="1" t="s">
        <v>25</v>
      </c>
      <c r="G364" s="1" t="s">
        <v>44</v>
      </c>
      <c r="H364" s="1" t="s">
        <v>70</v>
      </c>
      <c r="I364">
        <v>10</v>
      </c>
      <c r="J364">
        <v>94294.85</v>
      </c>
      <c r="K364">
        <v>0</v>
      </c>
      <c r="L364">
        <v>19995.11</v>
      </c>
      <c r="M364" s="1" t="s">
        <v>20</v>
      </c>
    </row>
    <row r="365" spans="1:13" x14ac:dyDescent="0.3">
      <c r="A365" s="1" t="s">
        <v>897</v>
      </c>
      <c r="B365" s="2">
        <v>45999</v>
      </c>
      <c r="C365" s="1" t="s">
        <v>187</v>
      </c>
      <c r="D365" s="1" t="s">
        <v>188</v>
      </c>
      <c r="E365" s="1" t="s">
        <v>43</v>
      </c>
      <c r="F365" s="1" t="s">
        <v>69</v>
      </c>
      <c r="G365" s="1" t="s">
        <v>44</v>
      </c>
      <c r="H365" s="1" t="s">
        <v>90</v>
      </c>
      <c r="I365">
        <v>6</v>
      </c>
      <c r="J365">
        <v>52126.77</v>
      </c>
      <c r="K365">
        <v>0.1</v>
      </c>
      <c r="L365">
        <v>6852.41</v>
      </c>
      <c r="M365" s="1" t="s">
        <v>28</v>
      </c>
    </row>
    <row r="366" spans="1:13" x14ac:dyDescent="0.3">
      <c r="A366" s="1" t="s">
        <v>898</v>
      </c>
      <c r="B366" s="2">
        <v>45808</v>
      </c>
      <c r="C366" s="1" t="s">
        <v>64</v>
      </c>
      <c r="D366" s="1" t="s">
        <v>65</v>
      </c>
      <c r="E366" s="1" t="s">
        <v>24</v>
      </c>
      <c r="F366" s="1" t="s">
        <v>25</v>
      </c>
      <c r="G366" s="1" t="s">
        <v>26</v>
      </c>
      <c r="H366" s="1" t="s">
        <v>86</v>
      </c>
      <c r="I366">
        <v>9</v>
      </c>
      <c r="J366">
        <v>13156.33</v>
      </c>
      <c r="K366">
        <v>0.2</v>
      </c>
      <c r="L366">
        <v>3716.47</v>
      </c>
      <c r="M366" s="1" t="s">
        <v>20</v>
      </c>
    </row>
    <row r="367" spans="1:13" x14ac:dyDescent="0.3">
      <c r="A367" s="1" t="s">
        <v>899</v>
      </c>
      <c r="B367" s="2">
        <v>45784</v>
      </c>
      <c r="C367" s="1" t="s">
        <v>637</v>
      </c>
      <c r="D367" s="1" t="s">
        <v>638</v>
      </c>
      <c r="E367" s="1" t="s">
        <v>43</v>
      </c>
      <c r="F367" s="1" t="s">
        <v>25</v>
      </c>
      <c r="G367" s="1" t="s">
        <v>32</v>
      </c>
      <c r="H367" s="1" t="s">
        <v>54</v>
      </c>
      <c r="I367">
        <v>7</v>
      </c>
      <c r="J367">
        <v>92339.72</v>
      </c>
      <c r="K367">
        <v>0.05</v>
      </c>
      <c r="L367">
        <v>17401.04</v>
      </c>
      <c r="M367" s="1" t="s">
        <v>28</v>
      </c>
    </row>
    <row r="368" spans="1:13" x14ac:dyDescent="0.3">
      <c r="A368" s="1" t="s">
        <v>900</v>
      </c>
      <c r="B368" s="2">
        <v>45812</v>
      </c>
      <c r="C368" s="1" t="s">
        <v>901</v>
      </c>
      <c r="D368" s="1" t="s">
        <v>902</v>
      </c>
      <c r="E368" s="1" t="s">
        <v>74</v>
      </c>
      <c r="F368" s="1" t="s">
        <v>17</v>
      </c>
      <c r="G368" s="1" t="s">
        <v>18</v>
      </c>
      <c r="H368" s="1" t="s">
        <v>122</v>
      </c>
      <c r="I368">
        <v>3</v>
      </c>
      <c r="J368">
        <v>7354.19</v>
      </c>
      <c r="K368">
        <v>0.05</v>
      </c>
      <c r="L368">
        <v>1834.25</v>
      </c>
      <c r="M368" s="1" t="s">
        <v>55</v>
      </c>
    </row>
    <row r="369" spans="1:13" x14ac:dyDescent="0.3">
      <c r="A369" s="1" t="s">
        <v>903</v>
      </c>
      <c r="B369" s="2">
        <v>45930</v>
      </c>
      <c r="C369" s="1" t="s">
        <v>904</v>
      </c>
      <c r="D369" s="1" t="s">
        <v>905</v>
      </c>
      <c r="E369" s="1" t="s">
        <v>74</v>
      </c>
      <c r="F369" s="1" t="s">
        <v>69</v>
      </c>
      <c r="G369" s="1" t="s">
        <v>32</v>
      </c>
      <c r="H369" s="1" t="s">
        <v>54</v>
      </c>
      <c r="I369">
        <v>3</v>
      </c>
      <c r="J369">
        <v>50980.800000000003</v>
      </c>
      <c r="K369">
        <v>0.15</v>
      </c>
      <c r="L369">
        <v>13559.83</v>
      </c>
      <c r="M369" s="1" t="s">
        <v>28</v>
      </c>
    </row>
    <row r="370" spans="1:13" x14ac:dyDescent="0.3">
      <c r="A370" s="1" t="s">
        <v>906</v>
      </c>
      <c r="B370" s="2">
        <v>45761</v>
      </c>
      <c r="C370" s="1" t="s">
        <v>312</v>
      </c>
      <c r="D370" s="1" t="s">
        <v>313</v>
      </c>
      <c r="E370" s="1" t="s">
        <v>74</v>
      </c>
      <c r="F370" s="1" t="s">
        <v>25</v>
      </c>
      <c r="G370" s="1" t="s">
        <v>32</v>
      </c>
      <c r="H370" s="1" t="s">
        <v>79</v>
      </c>
      <c r="I370">
        <v>1</v>
      </c>
      <c r="J370">
        <v>10476.66</v>
      </c>
      <c r="K370">
        <v>0.15</v>
      </c>
      <c r="L370">
        <v>2256.96</v>
      </c>
      <c r="M370" s="1" t="s">
        <v>55</v>
      </c>
    </row>
    <row r="371" spans="1:13" x14ac:dyDescent="0.3">
      <c r="A371" s="1" t="s">
        <v>907</v>
      </c>
      <c r="B371" s="2">
        <v>45956</v>
      </c>
      <c r="C371" s="1" t="s">
        <v>81</v>
      </c>
      <c r="D371" s="1" t="s">
        <v>82</v>
      </c>
      <c r="E371" s="1" t="s">
        <v>24</v>
      </c>
      <c r="F371" s="1" t="s">
        <v>25</v>
      </c>
      <c r="G371" s="1" t="s">
        <v>26</v>
      </c>
      <c r="H371" s="1" t="s">
        <v>49</v>
      </c>
      <c r="I371">
        <v>4</v>
      </c>
      <c r="J371">
        <v>8718.14</v>
      </c>
      <c r="K371">
        <v>0.25</v>
      </c>
      <c r="L371">
        <v>2340.2199999999998</v>
      </c>
      <c r="M371" s="1" t="s">
        <v>39</v>
      </c>
    </row>
    <row r="372" spans="1:13" x14ac:dyDescent="0.3">
      <c r="A372" s="1" t="s">
        <v>908</v>
      </c>
      <c r="B372" s="2">
        <v>45903</v>
      </c>
      <c r="C372" s="1" t="s">
        <v>366</v>
      </c>
      <c r="D372" s="1" t="s">
        <v>367</v>
      </c>
      <c r="E372" s="1" t="s">
        <v>43</v>
      </c>
      <c r="F372" s="1" t="s">
        <v>69</v>
      </c>
      <c r="G372" s="1" t="s">
        <v>32</v>
      </c>
      <c r="H372" s="1" t="s">
        <v>59</v>
      </c>
      <c r="I372">
        <v>9</v>
      </c>
      <c r="J372">
        <v>68654.16</v>
      </c>
      <c r="K372">
        <v>0.1</v>
      </c>
      <c r="L372">
        <v>16929.919999999998</v>
      </c>
      <c r="M372" s="1" t="s">
        <v>55</v>
      </c>
    </row>
    <row r="373" spans="1:13" x14ac:dyDescent="0.3">
      <c r="A373" s="1" t="s">
        <v>909</v>
      </c>
      <c r="B373" s="2">
        <v>45833</v>
      </c>
      <c r="C373" s="1" t="s">
        <v>587</v>
      </c>
      <c r="D373" s="1" t="s">
        <v>588</v>
      </c>
      <c r="E373" s="1" t="s">
        <v>43</v>
      </c>
      <c r="F373" s="1" t="s">
        <v>25</v>
      </c>
      <c r="G373" s="1" t="s">
        <v>44</v>
      </c>
      <c r="H373" s="1" t="s">
        <v>75</v>
      </c>
      <c r="I373">
        <v>3</v>
      </c>
      <c r="J373">
        <v>38931.64</v>
      </c>
      <c r="K373">
        <v>0.1</v>
      </c>
      <c r="L373">
        <v>8810.85</v>
      </c>
      <c r="M373" s="1" t="s">
        <v>28</v>
      </c>
    </row>
    <row r="374" spans="1:13" x14ac:dyDescent="0.3">
      <c r="A374" s="1" t="s">
        <v>910</v>
      </c>
      <c r="B374" s="2">
        <v>45696</v>
      </c>
      <c r="C374" s="1" t="s">
        <v>911</v>
      </c>
      <c r="D374" s="1" t="s">
        <v>912</v>
      </c>
      <c r="E374" s="1" t="s">
        <v>43</v>
      </c>
      <c r="F374" s="1" t="s">
        <v>25</v>
      </c>
      <c r="G374" s="1" t="s">
        <v>18</v>
      </c>
      <c r="H374" s="1" t="s">
        <v>145</v>
      </c>
      <c r="I374">
        <v>2</v>
      </c>
      <c r="J374">
        <v>3977.25</v>
      </c>
      <c r="K374">
        <v>0.1</v>
      </c>
      <c r="L374">
        <v>1103.72</v>
      </c>
      <c r="M374" s="1" t="s">
        <v>39</v>
      </c>
    </row>
    <row r="375" spans="1:13" x14ac:dyDescent="0.3">
      <c r="A375" s="1" t="s">
        <v>913</v>
      </c>
      <c r="B375" s="2">
        <v>45827</v>
      </c>
      <c r="C375" s="1" t="s">
        <v>901</v>
      </c>
      <c r="D375" s="1" t="s">
        <v>902</v>
      </c>
      <c r="E375" s="1" t="s">
        <v>37</v>
      </c>
      <c r="F375" s="1" t="s">
        <v>25</v>
      </c>
      <c r="G375" s="1" t="s">
        <v>32</v>
      </c>
      <c r="H375" s="1" t="s">
        <v>79</v>
      </c>
      <c r="I375">
        <v>3</v>
      </c>
      <c r="J375">
        <v>61546.33</v>
      </c>
      <c r="K375">
        <v>0.05</v>
      </c>
      <c r="L375">
        <v>15843.92</v>
      </c>
      <c r="M375" s="1" t="s">
        <v>20</v>
      </c>
    </row>
    <row r="376" spans="1:13" x14ac:dyDescent="0.3">
      <c r="A376" s="1" t="s">
        <v>914</v>
      </c>
      <c r="B376" s="2">
        <v>45904</v>
      </c>
      <c r="C376" s="1" t="s">
        <v>30</v>
      </c>
      <c r="D376" s="1" t="s">
        <v>31</v>
      </c>
      <c r="E376" s="1" t="s">
        <v>37</v>
      </c>
      <c r="F376" s="1" t="s">
        <v>25</v>
      </c>
      <c r="G376" s="1" t="s">
        <v>32</v>
      </c>
      <c r="H376" s="1" t="s">
        <v>33</v>
      </c>
      <c r="I376">
        <v>2</v>
      </c>
      <c r="J376">
        <v>36188.449999999997</v>
      </c>
      <c r="K376">
        <v>0.05</v>
      </c>
      <c r="L376">
        <v>8799.4500000000007</v>
      </c>
      <c r="M376" s="1" t="s">
        <v>55</v>
      </c>
    </row>
    <row r="377" spans="1:13" x14ac:dyDescent="0.3">
      <c r="A377" s="1" t="s">
        <v>915</v>
      </c>
      <c r="B377" s="2">
        <v>45683</v>
      </c>
      <c r="C377" s="1" t="s">
        <v>916</v>
      </c>
      <c r="D377" s="1" t="s">
        <v>917</v>
      </c>
      <c r="E377" s="1" t="s">
        <v>74</v>
      </c>
      <c r="F377" s="1" t="s">
        <v>25</v>
      </c>
      <c r="G377" s="1" t="s">
        <v>18</v>
      </c>
      <c r="H377" s="1" t="s">
        <v>122</v>
      </c>
      <c r="I377">
        <v>10</v>
      </c>
      <c r="J377">
        <v>22034.11</v>
      </c>
      <c r="K377">
        <v>0.15</v>
      </c>
      <c r="L377">
        <v>6080.63</v>
      </c>
      <c r="M377" s="1" t="s">
        <v>50</v>
      </c>
    </row>
    <row r="378" spans="1:13" x14ac:dyDescent="0.3">
      <c r="A378" s="1" t="s">
        <v>918</v>
      </c>
      <c r="B378" s="2">
        <v>46012</v>
      </c>
      <c r="C378" s="1" t="s">
        <v>919</v>
      </c>
      <c r="D378" s="1" t="s">
        <v>920</v>
      </c>
      <c r="E378" s="1" t="s">
        <v>16</v>
      </c>
      <c r="F378" s="1" t="s">
        <v>25</v>
      </c>
      <c r="G378" s="1" t="s">
        <v>44</v>
      </c>
      <c r="H378" s="1" t="s">
        <v>75</v>
      </c>
      <c r="I378">
        <v>3</v>
      </c>
      <c r="J378">
        <v>25612.98</v>
      </c>
      <c r="K378">
        <v>0.05</v>
      </c>
      <c r="L378">
        <v>3736.26</v>
      </c>
      <c r="M378" s="1" t="s">
        <v>39</v>
      </c>
    </row>
    <row r="379" spans="1:13" x14ac:dyDescent="0.3">
      <c r="A379" s="1" t="s">
        <v>921</v>
      </c>
      <c r="B379" s="2">
        <v>45963</v>
      </c>
      <c r="C379" s="1" t="s">
        <v>498</v>
      </c>
      <c r="D379" s="1" t="s">
        <v>499</v>
      </c>
      <c r="E379" s="1" t="s">
        <v>37</v>
      </c>
      <c r="F379" s="1" t="s">
        <v>25</v>
      </c>
      <c r="G379" s="1" t="s">
        <v>26</v>
      </c>
      <c r="H379" s="1" t="s">
        <v>244</v>
      </c>
      <c r="I379">
        <v>7</v>
      </c>
      <c r="J379">
        <v>20841.46</v>
      </c>
      <c r="K379">
        <v>0.1</v>
      </c>
      <c r="L379">
        <v>4914.0200000000004</v>
      </c>
      <c r="M379" s="1" t="s">
        <v>50</v>
      </c>
    </row>
    <row r="380" spans="1:13" x14ac:dyDescent="0.3">
      <c r="A380" s="1" t="s">
        <v>922</v>
      </c>
      <c r="B380" s="2">
        <v>45670</v>
      </c>
      <c r="C380" s="1" t="s">
        <v>540</v>
      </c>
      <c r="D380" s="1" t="s">
        <v>541</v>
      </c>
      <c r="E380" s="1" t="s">
        <v>37</v>
      </c>
      <c r="F380" s="1" t="s">
        <v>25</v>
      </c>
      <c r="G380" s="1" t="s">
        <v>18</v>
      </c>
      <c r="H380" s="1" t="s">
        <v>141</v>
      </c>
      <c r="I380">
        <v>2</v>
      </c>
      <c r="J380">
        <v>1783.16</v>
      </c>
      <c r="K380">
        <v>0.2</v>
      </c>
      <c r="L380">
        <v>455.52</v>
      </c>
      <c r="M380" s="1" t="s">
        <v>55</v>
      </c>
    </row>
    <row r="381" spans="1:13" x14ac:dyDescent="0.3">
      <c r="A381" s="1" t="s">
        <v>923</v>
      </c>
      <c r="B381" s="2">
        <v>45973</v>
      </c>
      <c r="C381" s="1" t="s">
        <v>924</v>
      </c>
      <c r="D381" s="1" t="s">
        <v>925</v>
      </c>
      <c r="E381" s="1" t="s">
        <v>74</v>
      </c>
      <c r="F381" s="1" t="s">
        <v>25</v>
      </c>
      <c r="G381" s="1" t="s">
        <v>32</v>
      </c>
      <c r="H381" s="1" t="s">
        <v>54</v>
      </c>
      <c r="I381">
        <v>9</v>
      </c>
      <c r="J381">
        <v>144182.69</v>
      </c>
      <c r="K381">
        <v>0.15</v>
      </c>
      <c r="L381">
        <v>33307.760000000002</v>
      </c>
      <c r="M381" s="1" t="s">
        <v>55</v>
      </c>
    </row>
    <row r="382" spans="1:13" x14ac:dyDescent="0.3">
      <c r="A382" s="1" t="s">
        <v>926</v>
      </c>
      <c r="B382" s="2">
        <v>45970</v>
      </c>
      <c r="C382" s="1" t="s">
        <v>764</v>
      </c>
      <c r="D382" s="1" t="s">
        <v>765</v>
      </c>
      <c r="E382" s="1" t="s">
        <v>24</v>
      </c>
      <c r="F382" s="1" t="s">
        <v>25</v>
      </c>
      <c r="G382" s="1" t="s">
        <v>32</v>
      </c>
      <c r="H382" s="1" t="s">
        <v>59</v>
      </c>
      <c r="I382">
        <v>9</v>
      </c>
      <c r="J382">
        <v>83093.98</v>
      </c>
      <c r="K382">
        <v>0.1</v>
      </c>
      <c r="L382">
        <v>17578.650000000001</v>
      </c>
      <c r="M382" s="1" t="s">
        <v>39</v>
      </c>
    </row>
    <row r="383" spans="1:13" x14ac:dyDescent="0.3">
      <c r="A383" s="1" t="s">
        <v>927</v>
      </c>
      <c r="B383" s="2">
        <v>45693</v>
      </c>
      <c r="C383" s="1" t="s">
        <v>730</v>
      </c>
      <c r="D383" s="1" t="s">
        <v>731</v>
      </c>
      <c r="E383" s="1" t="s">
        <v>37</v>
      </c>
      <c r="F383" s="1" t="s">
        <v>69</v>
      </c>
      <c r="G383" s="1" t="s">
        <v>32</v>
      </c>
      <c r="H383" s="1" t="s">
        <v>59</v>
      </c>
      <c r="I383">
        <v>7</v>
      </c>
      <c r="J383">
        <v>110137.36</v>
      </c>
      <c r="K383">
        <v>0</v>
      </c>
      <c r="L383">
        <v>19064.02</v>
      </c>
      <c r="M383" s="1" t="s">
        <v>50</v>
      </c>
    </row>
    <row r="384" spans="1:13" x14ac:dyDescent="0.3">
      <c r="A384" s="1" t="s">
        <v>928</v>
      </c>
      <c r="B384" s="2">
        <v>45830</v>
      </c>
      <c r="C384" s="1" t="s">
        <v>929</v>
      </c>
      <c r="D384" s="1" t="s">
        <v>930</v>
      </c>
      <c r="E384" s="1" t="s">
        <v>16</v>
      </c>
      <c r="F384" s="1" t="s">
        <v>17</v>
      </c>
      <c r="G384" s="1" t="s">
        <v>18</v>
      </c>
      <c r="H384" s="1" t="s">
        <v>145</v>
      </c>
      <c r="I384">
        <v>9</v>
      </c>
      <c r="J384">
        <v>7420.44</v>
      </c>
      <c r="K384">
        <v>0.2</v>
      </c>
      <c r="L384">
        <v>2134.9499999999998</v>
      </c>
      <c r="M384" s="1" t="s">
        <v>20</v>
      </c>
    </row>
    <row r="385" spans="1:13" x14ac:dyDescent="0.3">
      <c r="A385" s="1" t="s">
        <v>931</v>
      </c>
      <c r="B385" s="2">
        <v>45677</v>
      </c>
      <c r="C385" s="1" t="s">
        <v>932</v>
      </c>
      <c r="D385" s="1" t="s">
        <v>933</v>
      </c>
      <c r="E385" s="1" t="s">
        <v>37</v>
      </c>
      <c r="F385" s="1" t="s">
        <v>69</v>
      </c>
      <c r="G385" s="1" t="s">
        <v>44</v>
      </c>
      <c r="H385" s="1" t="s">
        <v>70</v>
      </c>
      <c r="I385">
        <v>9</v>
      </c>
      <c r="J385">
        <v>91144.44</v>
      </c>
      <c r="K385">
        <v>0.05</v>
      </c>
      <c r="L385">
        <v>14298.72</v>
      </c>
      <c r="M385" s="1" t="s">
        <v>28</v>
      </c>
    </row>
    <row r="386" spans="1:13" x14ac:dyDescent="0.3">
      <c r="A386" s="1" t="s">
        <v>934</v>
      </c>
      <c r="B386" s="2">
        <v>45978</v>
      </c>
      <c r="C386" s="1" t="s">
        <v>628</v>
      </c>
      <c r="D386" s="1" t="s">
        <v>629</v>
      </c>
      <c r="E386" s="1" t="s">
        <v>74</v>
      </c>
      <c r="F386" s="1" t="s">
        <v>69</v>
      </c>
      <c r="G386" s="1" t="s">
        <v>32</v>
      </c>
      <c r="H386" s="1" t="s">
        <v>79</v>
      </c>
      <c r="I386">
        <v>10</v>
      </c>
      <c r="J386">
        <v>69146.210000000006</v>
      </c>
      <c r="K386">
        <v>0.2</v>
      </c>
      <c r="L386">
        <v>12981</v>
      </c>
      <c r="M386" s="1" t="s">
        <v>50</v>
      </c>
    </row>
    <row r="387" spans="1:13" x14ac:dyDescent="0.3">
      <c r="A387" s="1" t="s">
        <v>935</v>
      </c>
      <c r="B387" s="2">
        <v>45921</v>
      </c>
      <c r="C387" s="1" t="s">
        <v>936</v>
      </c>
      <c r="D387" s="1" t="s">
        <v>937</v>
      </c>
      <c r="E387" s="1" t="s">
        <v>16</v>
      </c>
      <c r="F387" s="1" t="s">
        <v>69</v>
      </c>
      <c r="G387" s="1" t="s">
        <v>44</v>
      </c>
      <c r="H387" s="1" t="s">
        <v>90</v>
      </c>
      <c r="I387">
        <v>9</v>
      </c>
      <c r="J387">
        <v>88864.89</v>
      </c>
      <c r="K387">
        <v>0.1</v>
      </c>
      <c r="L387">
        <v>19225.740000000002</v>
      </c>
      <c r="M387" s="1" t="s">
        <v>55</v>
      </c>
    </row>
    <row r="388" spans="1:13" x14ac:dyDescent="0.3">
      <c r="A388" s="1" t="s">
        <v>938</v>
      </c>
      <c r="B388" s="2">
        <v>45799</v>
      </c>
      <c r="C388" s="1" t="s">
        <v>939</v>
      </c>
      <c r="D388" s="1" t="s">
        <v>940</v>
      </c>
      <c r="E388" s="1" t="s">
        <v>24</v>
      </c>
      <c r="F388" s="1" t="s">
        <v>25</v>
      </c>
      <c r="G388" s="1" t="s">
        <v>32</v>
      </c>
      <c r="H388" s="1" t="s">
        <v>33</v>
      </c>
      <c r="I388">
        <v>4</v>
      </c>
      <c r="J388">
        <v>59833.93</v>
      </c>
      <c r="K388">
        <v>0.15</v>
      </c>
      <c r="L388">
        <v>15004.66</v>
      </c>
      <c r="M388" s="1" t="s">
        <v>20</v>
      </c>
    </row>
    <row r="389" spans="1:13" x14ac:dyDescent="0.3">
      <c r="A389" s="1" t="s">
        <v>941</v>
      </c>
      <c r="B389" s="2">
        <v>45800</v>
      </c>
      <c r="C389" s="1" t="s">
        <v>761</v>
      </c>
      <c r="D389" s="1" t="s">
        <v>762</v>
      </c>
      <c r="E389" s="1" t="s">
        <v>24</v>
      </c>
      <c r="F389" s="1" t="s">
        <v>69</v>
      </c>
      <c r="G389" s="1" t="s">
        <v>26</v>
      </c>
      <c r="H389" s="1" t="s">
        <v>86</v>
      </c>
      <c r="I389">
        <v>8</v>
      </c>
      <c r="J389">
        <v>27382.78</v>
      </c>
      <c r="K389">
        <v>0.1</v>
      </c>
      <c r="L389">
        <v>5632.96</v>
      </c>
      <c r="M389" s="1" t="s">
        <v>28</v>
      </c>
    </row>
    <row r="390" spans="1:13" x14ac:dyDescent="0.3">
      <c r="A390" s="1" t="s">
        <v>942</v>
      </c>
      <c r="B390" s="2">
        <v>45749</v>
      </c>
      <c r="C390" s="1" t="s">
        <v>943</v>
      </c>
      <c r="D390" s="1" t="s">
        <v>944</v>
      </c>
      <c r="E390" s="1" t="s">
        <v>74</v>
      </c>
      <c r="F390" s="1" t="s">
        <v>17</v>
      </c>
      <c r="G390" s="1" t="s">
        <v>32</v>
      </c>
      <c r="H390" s="1" t="s">
        <v>59</v>
      </c>
      <c r="I390">
        <v>5</v>
      </c>
      <c r="J390">
        <v>46949.45</v>
      </c>
      <c r="K390">
        <v>0.15</v>
      </c>
      <c r="L390">
        <v>11549.59</v>
      </c>
      <c r="M390" s="1" t="s">
        <v>55</v>
      </c>
    </row>
    <row r="391" spans="1:13" x14ac:dyDescent="0.3">
      <c r="A391" s="1" t="s">
        <v>945</v>
      </c>
      <c r="B391" s="2">
        <v>46011</v>
      </c>
      <c r="C391" s="1" t="s">
        <v>267</v>
      </c>
      <c r="D391" s="1" t="s">
        <v>268</v>
      </c>
      <c r="E391" s="1" t="s">
        <v>43</v>
      </c>
      <c r="F391" s="1" t="s">
        <v>25</v>
      </c>
      <c r="G391" s="1" t="s">
        <v>18</v>
      </c>
      <c r="H391" s="1" t="s">
        <v>145</v>
      </c>
      <c r="I391">
        <v>3</v>
      </c>
      <c r="J391">
        <v>7368.16</v>
      </c>
      <c r="K391">
        <v>0.05</v>
      </c>
      <c r="L391">
        <v>1806.59</v>
      </c>
      <c r="M391" s="1" t="s">
        <v>55</v>
      </c>
    </row>
    <row r="392" spans="1:13" x14ac:dyDescent="0.3">
      <c r="A392" s="1" t="s">
        <v>946</v>
      </c>
      <c r="B392" s="2">
        <v>45979</v>
      </c>
      <c r="C392" s="1" t="s">
        <v>947</v>
      </c>
      <c r="D392" s="1" t="s">
        <v>948</v>
      </c>
      <c r="E392" s="1" t="s">
        <v>43</v>
      </c>
      <c r="F392" s="1" t="s">
        <v>17</v>
      </c>
      <c r="G392" s="1" t="s">
        <v>32</v>
      </c>
      <c r="H392" s="1" t="s">
        <v>59</v>
      </c>
      <c r="I392">
        <v>7</v>
      </c>
      <c r="J392">
        <v>98462.2</v>
      </c>
      <c r="K392">
        <v>0.15</v>
      </c>
      <c r="L392">
        <v>20351.759999999998</v>
      </c>
      <c r="M392" s="1" t="s">
        <v>28</v>
      </c>
    </row>
    <row r="393" spans="1:13" x14ac:dyDescent="0.3">
      <c r="A393" s="1" t="s">
        <v>949</v>
      </c>
      <c r="B393" s="2">
        <v>45945</v>
      </c>
      <c r="C393" s="1" t="s">
        <v>695</v>
      </c>
      <c r="D393" s="1" t="s">
        <v>696</v>
      </c>
      <c r="E393" s="1" t="s">
        <v>37</v>
      </c>
      <c r="F393" s="1" t="s">
        <v>69</v>
      </c>
      <c r="G393" s="1" t="s">
        <v>32</v>
      </c>
      <c r="H393" s="1" t="s">
        <v>38</v>
      </c>
      <c r="I393">
        <v>3</v>
      </c>
      <c r="J393">
        <v>36066.480000000003</v>
      </c>
      <c r="K393">
        <v>0.2</v>
      </c>
      <c r="L393">
        <v>9060.18</v>
      </c>
      <c r="M393" s="1" t="s">
        <v>20</v>
      </c>
    </row>
    <row r="394" spans="1:13" x14ac:dyDescent="0.3">
      <c r="A394" s="1" t="s">
        <v>950</v>
      </c>
      <c r="B394" s="2">
        <v>45872</v>
      </c>
      <c r="C394" s="1" t="s">
        <v>929</v>
      </c>
      <c r="D394" s="1" t="s">
        <v>930</v>
      </c>
      <c r="E394" s="1" t="s">
        <v>24</v>
      </c>
      <c r="F394" s="1" t="s">
        <v>69</v>
      </c>
      <c r="G394" s="1" t="s">
        <v>44</v>
      </c>
      <c r="H394" s="1" t="s">
        <v>75</v>
      </c>
      <c r="I394">
        <v>3</v>
      </c>
      <c r="J394">
        <v>38636.39</v>
      </c>
      <c r="K394">
        <v>0.1</v>
      </c>
      <c r="L394">
        <v>6333.43</v>
      </c>
      <c r="M394" s="1" t="s">
        <v>28</v>
      </c>
    </row>
    <row r="395" spans="1:13" x14ac:dyDescent="0.3">
      <c r="A395" s="1" t="s">
        <v>951</v>
      </c>
      <c r="B395" s="2">
        <v>45999</v>
      </c>
      <c r="C395" s="1" t="s">
        <v>952</v>
      </c>
      <c r="D395" s="1" t="s">
        <v>953</v>
      </c>
      <c r="E395" s="1" t="s">
        <v>16</v>
      </c>
      <c r="F395" s="1" t="s">
        <v>25</v>
      </c>
      <c r="G395" s="1" t="s">
        <v>18</v>
      </c>
      <c r="H395" s="1" t="s">
        <v>19</v>
      </c>
      <c r="I395">
        <v>3</v>
      </c>
      <c r="J395">
        <v>6927.87</v>
      </c>
      <c r="K395">
        <v>0.1</v>
      </c>
      <c r="L395">
        <v>2188.31</v>
      </c>
      <c r="M395" s="1" t="s">
        <v>20</v>
      </c>
    </row>
    <row r="396" spans="1:13" x14ac:dyDescent="0.3">
      <c r="A396" s="1" t="s">
        <v>954</v>
      </c>
      <c r="B396" s="2">
        <v>45708</v>
      </c>
      <c r="C396" s="1" t="s">
        <v>756</v>
      </c>
      <c r="D396" s="1" t="s">
        <v>757</v>
      </c>
      <c r="E396" s="1" t="s">
        <v>74</v>
      </c>
      <c r="F396" s="1" t="s">
        <v>69</v>
      </c>
      <c r="G396" s="1" t="s">
        <v>44</v>
      </c>
      <c r="H396" s="1" t="s">
        <v>90</v>
      </c>
      <c r="I396">
        <v>9</v>
      </c>
      <c r="J396">
        <v>43879.15</v>
      </c>
      <c r="K396">
        <v>0.15</v>
      </c>
      <c r="L396">
        <v>6719.13</v>
      </c>
      <c r="M396" s="1" t="s">
        <v>28</v>
      </c>
    </row>
    <row r="397" spans="1:13" x14ac:dyDescent="0.3">
      <c r="A397" s="1" t="s">
        <v>955</v>
      </c>
      <c r="B397" s="2">
        <v>45810</v>
      </c>
      <c r="C397" s="1" t="s">
        <v>261</v>
      </c>
      <c r="D397" s="1" t="s">
        <v>262</v>
      </c>
      <c r="E397" s="1" t="s">
        <v>74</v>
      </c>
      <c r="F397" s="1" t="s">
        <v>25</v>
      </c>
      <c r="G397" s="1" t="s">
        <v>18</v>
      </c>
      <c r="H397" s="1" t="s">
        <v>122</v>
      </c>
      <c r="I397">
        <v>3</v>
      </c>
      <c r="J397">
        <v>7301.6</v>
      </c>
      <c r="K397">
        <v>0.1</v>
      </c>
      <c r="L397">
        <v>2162.96</v>
      </c>
      <c r="M397" s="1" t="s">
        <v>20</v>
      </c>
    </row>
    <row r="398" spans="1:13" x14ac:dyDescent="0.3">
      <c r="A398" s="1" t="s">
        <v>956</v>
      </c>
      <c r="B398" s="2">
        <v>45843</v>
      </c>
      <c r="C398" s="1" t="s">
        <v>326</v>
      </c>
      <c r="D398" s="1" t="s">
        <v>327</v>
      </c>
      <c r="E398" s="1" t="s">
        <v>37</v>
      </c>
      <c r="F398" s="1" t="s">
        <v>25</v>
      </c>
      <c r="G398" s="1" t="s">
        <v>26</v>
      </c>
      <c r="H398" s="1" t="s">
        <v>86</v>
      </c>
      <c r="I398">
        <v>7</v>
      </c>
      <c r="J398">
        <v>12979.32</v>
      </c>
      <c r="K398">
        <v>0.15</v>
      </c>
      <c r="L398">
        <v>3558.9</v>
      </c>
      <c r="M398" s="1" t="s">
        <v>50</v>
      </c>
    </row>
    <row r="399" spans="1:13" x14ac:dyDescent="0.3">
      <c r="A399" s="1" t="s">
        <v>957</v>
      </c>
      <c r="B399" s="2">
        <v>45720</v>
      </c>
      <c r="C399" s="1" t="s">
        <v>261</v>
      </c>
      <c r="D399" s="1" t="s">
        <v>262</v>
      </c>
      <c r="E399" s="1" t="s">
        <v>37</v>
      </c>
      <c r="F399" s="1" t="s">
        <v>25</v>
      </c>
      <c r="G399" s="1" t="s">
        <v>32</v>
      </c>
      <c r="H399" s="1" t="s">
        <v>54</v>
      </c>
      <c r="I399">
        <v>1</v>
      </c>
      <c r="J399">
        <v>11485.33</v>
      </c>
      <c r="K399">
        <v>0.2</v>
      </c>
      <c r="L399">
        <v>2392.85</v>
      </c>
      <c r="M399" s="1" t="s">
        <v>28</v>
      </c>
    </row>
    <row r="400" spans="1:13" x14ac:dyDescent="0.3">
      <c r="A400" s="1" t="s">
        <v>958</v>
      </c>
      <c r="B400" s="2">
        <v>45847</v>
      </c>
      <c r="C400" s="1" t="s">
        <v>359</v>
      </c>
      <c r="D400" s="1" t="s">
        <v>360</v>
      </c>
      <c r="E400" s="1" t="s">
        <v>74</v>
      </c>
      <c r="F400" s="1" t="s">
        <v>25</v>
      </c>
      <c r="G400" s="1" t="s">
        <v>26</v>
      </c>
      <c r="H400" s="1" t="s">
        <v>244</v>
      </c>
      <c r="I400">
        <v>9</v>
      </c>
      <c r="J400">
        <v>22236.1</v>
      </c>
      <c r="K400">
        <v>0.1</v>
      </c>
      <c r="L400">
        <v>6210.68</v>
      </c>
      <c r="M400" s="1" t="s">
        <v>39</v>
      </c>
    </row>
    <row r="401" spans="1:13" x14ac:dyDescent="0.3">
      <c r="A401" s="1" t="s">
        <v>959</v>
      </c>
      <c r="B401" s="2">
        <v>45782</v>
      </c>
      <c r="C401" s="1" t="s">
        <v>276</v>
      </c>
      <c r="D401" s="1" t="s">
        <v>277</v>
      </c>
      <c r="E401" s="1" t="s">
        <v>74</v>
      </c>
      <c r="F401" s="1" t="s">
        <v>25</v>
      </c>
      <c r="G401" s="1" t="s">
        <v>26</v>
      </c>
      <c r="H401" s="1" t="s">
        <v>231</v>
      </c>
      <c r="I401">
        <v>1</v>
      </c>
      <c r="J401">
        <v>2596.9</v>
      </c>
      <c r="K401">
        <v>0.05</v>
      </c>
      <c r="L401">
        <v>678.31</v>
      </c>
      <c r="M401" s="1" t="s">
        <v>55</v>
      </c>
    </row>
    <row r="402" spans="1:13" x14ac:dyDescent="0.3">
      <c r="A402" s="1" t="s">
        <v>960</v>
      </c>
      <c r="B402" s="2">
        <v>45807</v>
      </c>
      <c r="C402" s="1" t="s">
        <v>961</v>
      </c>
      <c r="D402" s="1" t="s">
        <v>962</v>
      </c>
      <c r="E402" s="1" t="s">
        <v>37</v>
      </c>
      <c r="F402" s="1" t="s">
        <v>17</v>
      </c>
      <c r="G402" s="1" t="s">
        <v>18</v>
      </c>
      <c r="H402" s="1" t="s">
        <v>19</v>
      </c>
      <c r="I402">
        <v>9</v>
      </c>
      <c r="J402">
        <v>8289.7999999999993</v>
      </c>
      <c r="K402">
        <v>0.25</v>
      </c>
      <c r="L402">
        <v>2389.64</v>
      </c>
      <c r="M402" s="1" t="s">
        <v>39</v>
      </c>
    </row>
    <row r="403" spans="1:13" x14ac:dyDescent="0.3">
      <c r="A403" s="1" t="s">
        <v>963</v>
      </c>
      <c r="B403" s="2">
        <v>45971</v>
      </c>
      <c r="C403" s="1" t="s">
        <v>964</v>
      </c>
      <c r="D403" s="1" t="s">
        <v>965</v>
      </c>
      <c r="E403" s="1" t="s">
        <v>16</v>
      </c>
      <c r="F403" s="1" t="s">
        <v>25</v>
      </c>
      <c r="G403" s="1" t="s">
        <v>26</v>
      </c>
      <c r="H403" s="1" t="s">
        <v>244</v>
      </c>
      <c r="I403">
        <v>9</v>
      </c>
      <c r="J403">
        <v>19742.88</v>
      </c>
      <c r="K403">
        <v>0.05</v>
      </c>
      <c r="L403">
        <v>4861.87</v>
      </c>
      <c r="M403" s="1" t="s">
        <v>28</v>
      </c>
    </row>
    <row r="404" spans="1:13" x14ac:dyDescent="0.3">
      <c r="A404" s="1" t="s">
        <v>966</v>
      </c>
      <c r="B404" s="2">
        <v>45715</v>
      </c>
      <c r="C404" s="1" t="s">
        <v>774</v>
      </c>
      <c r="D404" s="1" t="s">
        <v>775</v>
      </c>
      <c r="E404" s="1" t="s">
        <v>37</v>
      </c>
      <c r="F404" s="1" t="s">
        <v>25</v>
      </c>
      <c r="G404" s="1" t="s">
        <v>32</v>
      </c>
      <c r="H404" s="1" t="s">
        <v>33</v>
      </c>
      <c r="I404">
        <v>6</v>
      </c>
      <c r="J404">
        <v>77414.87</v>
      </c>
      <c r="K404">
        <v>0.1</v>
      </c>
      <c r="L404">
        <v>19889.23</v>
      </c>
      <c r="M404" s="1" t="s">
        <v>55</v>
      </c>
    </row>
    <row r="405" spans="1:13" x14ac:dyDescent="0.3">
      <c r="A405" s="1" t="s">
        <v>967</v>
      </c>
      <c r="B405" s="2">
        <v>45999</v>
      </c>
      <c r="C405" s="1" t="s">
        <v>434</v>
      </c>
      <c r="D405" s="1" t="s">
        <v>435</v>
      </c>
      <c r="E405" s="1" t="s">
        <v>74</v>
      </c>
      <c r="F405" s="1" t="s">
        <v>69</v>
      </c>
      <c r="G405" s="1" t="s">
        <v>18</v>
      </c>
      <c r="H405" s="1" t="s">
        <v>145</v>
      </c>
      <c r="I405">
        <v>2</v>
      </c>
      <c r="J405">
        <v>3883.94</v>
      </c>
      <c r="K405">
        <v>0.1</v>
      </c>
      <c r="L405">
        <v>1071.2</v>
      </c>
      <c r="M405" s="1" t="s">
        <v>28</v>
      </c>
    </row>
    <row r="406" spans="1:13" x14ac:dyDescent="0.3">
      <c r="A406" s="1" t="s">
        <v>968</v>
      </c>
      <c r="B406" s="2">
        <v>45962</v>
      </c>
      <c r="C406" s="1" t="s">
        <v>969</v>
      </c>
      <c r="D406" s="1" t="s">
        <v>970</v>
      </c>
      <c r="E406" s="1" t="s">
        <v>24</v>
      </c>
      <c r="F406" s="1" t="s">
        <v>69</v>
      </c>
      <c r="G406" s="1" t="s">
        <v>44</v>
      </c>
      <c r="H406" s="1" t="s">
        <v>45</v>
      </c>
      <c r="I406">
        <v>5</v>
      </c>
      <c r="J406">
        <v>38456.160000000003</v>
      </c>
      <c r="K406">
        <v>0</v>
      </c>
      <c r="L406">
        <v>6446.85</v>
      </c>
      <c r="M406" s="1" t="s">
        <v>50</v>
      </c>
    </row>
    <row r="407" spans="1:13" x14ac:dyDescent="0.3">
      <c r="A407" s="1" t="s">
        <v>971</v>
      </c>
      <c r="B407" s="2">
        <v>45837</v>
      </c>
      <c r="C407" s="1" t="s">
        <v>972</v>
      </c>
      <c r="D407" s="1" t="s">
        <v>973</v>
      </c>
      <c r="E407" s="1" t="s">
        <v>37</v>
      </c>
      <c r="F407" s="1" t="s">
        <v>25</v>
      </c>
      <c r="G407" s="1" t="s">
        <v>18</v>
      </c>
      <c r="H407" s="1" t="s">
        <v>97</v>
      </c>
      <c r="I407">
        <v>4</v>
      </c>
      <c r="J407">
        <v>7270.78</v>
      </c>
      <c r="K407">
        <v>0.05</v>
      </c>
      <c r="L407">
        <v>2270.1</v>
      </c>
      <c r="M407" s="1" t="s">
        <v>20</v>
      </c>
    </row>
    <row r="408" spans="1:13" x14ac:dyDescent="0.3">
      <c r="A408" s="1" t="s">
        <v>974</v>
      </c>
      <c r="B408" s="2">
        <v>45827</v>
      </c>
      <c r="C408" s="1" t="s">
        <v>890</v>
      </c>
      <c r="D408" s="1" t="s">
        <v>891</v>
      </c>
      <c r="E408" s="1" t="s">
        <v>24</v>
      </c>
      <c r="F408" s="1" t="s">
        <v>69</v>
      </c>
      <c r="G408" s="1" t="s">
        <v>44</v>
      </c>
      <c r="H408" s="1" t="s">
        <v>90</v>
      </c>
      <c r="I408">
        <v>1</v>
      </c>
      <c r="J408">
        <v>5721.15</v>
      </c>
      <c r="K408">
        <v>0.1</v>
      </c>
      <c r="L408">
        <v>943.32</v>
      </c>
      <c r="M408" s="1" t="s">
        <v>55</v>
      </c>
    </row>
    <row r="409" spans="1:13" x14ac:dyDescent="0.3">
      <c r="A409" s="1" t="s">
        <v>975</v>
      </c>
      <c r="B409" s="2">
        <v>45983</v>
      </c>
      <c r="C409" s="1" t="s">
        <v>976</v>
      </c>
      <c r="D409" s="1" t="s">
        <v>977</v>
      </c>
      <c r="E409" s="1" t="s">
        <v>16</v>
      </c>
      <c r="F409" s="1" t="s">
        <v>25</v>
      </c>
      <c r="G409" s="1" t="s">
        <v>44</v>
      </c>
      <c r="H409" s="1" t="s">
        <v>75</v>
      </c>
      <c r="I409">
        <v>6</v>
      </c>
      <c r="J409">
        <v>35632.269999999997</v>
      </c>
      <c r="K409">
        <v>0.05</v>
      </c>
      <c r="L409">
        <v>7305.54</v>
      </c>
      <c r="M409" s="1" t="s">
        <v>28</v>
      </c>
    </row>
    <row r="410" spans="1:13" x14ac:dyDescent="0.3">
      <c r="A410" s="1" t="s">
        <v>978</v>
      </c>
      <c r="B410" s="2">
        <v>45928</v>
      </c>
      <c r="C410" s="1" t="s">
        <v>725</v>
      </c>
      <c r="D410" s="1" t="s">
        <v>726</v>
      </c>
      <c r="E410" s="1" t="s">
        <v>74</v>
      </c>
      <c r="F410" s="1" t="s">
        <v>25</v>
      </c>
      <c r="G410" s="1" t="s">
        <v>44</v>
      </c>
      <c r="H410" s="1" t="s">
        <v>155</v>
      </c>
      <c r="I410">
        <v>7</v>
      </c>
      <c r="J410">
        <v>72621.84</v>
      </c>
      <c r="K410">
        <v>0.2</v>
      </c>
      <c r="L410">
        <v>15055.84</v>
      </c>
      <c r="M410" s="1" t="s">
        <v>50</v>
      </c>
    </row>
    <row r="411" spans="1:13" x14ac:dyDescent="0.3">
      <c r="A411" s="1" t="s">
        <v>979</v>
      </c>
      <c r="B411" s="2">
        <v>45711</v>
      </c>
      <c r="C411" s="1" t="s">
        <v>980</v>
      </c>
      <c r="D411" s="1" t="s">
        <v>981</v>
      </c>
      <c r="E411" s="1" t="s">
        <v>43</v>
      </c>
      <c r="F411" s="1" t="s">
        <v>25</v>
      </c>
      <c r="G411" s="1" t="s">
        <v>32</v>
      </c>
      <c r="H411" s="1" t="s">
        <v>79</v>
      </c>
      <c r="I411">
        <v>10</v>
      </c>
      <c r="J411">
        <v>147953.10999999999</v>
      </c>
      <c r="K411">
        <v>0.05</v>
      </c>
      <c r="L411">
        <v>36729.360000000001</v>
      </c>
      <c r="M411" s="1" t="s">
        <v>20</v>
      </c>
    </row>
    <row r="412" spans="1:13" x14ac:dyDescent="0.3">
      <c r="A412" s="1" t="s">
        <v>982</v>
      </c>
      <c r="B412" s="2">
        <v>45758</v>
      </c>
      <c r="C412" s="1" t="s">
        <v>792</v>
      </c>
      <c r="D412" s="1" t="s">
        <v>793</v>
      </c>
      <c r="E412" s="1" t="s">
        <v>43</v>
      </c>
      <c r="F412" s="1" t="s">
        <v>25</v>
      </c>
      <c r="G412" s="1" t="s">
        <v>18</v>
      </c>
      <c r="H412" s="1" t="s">
        <v>97</v>
      </c>
      <c r="I412">
        <v>9</v>
      </c>
      <c r="J412">
        <v>8120.8</v>
      </c>
      <c r="K412">
        <v>0.1</v>
      </c>
      <c r="L412">
        <v>2058.42</v>
      </c>
      <c r="M412" s="1" t="s">
        <v>20</v>
      </c>
    </row>
    <row r="413" spans="1:13" x14ac:dyDescent="0.3">
      <c r="A413" s="1" t="s">
        <v>983</v>
      </c>
      <c r="B413" s="2">
        <v>45921</v>
      </c>
      <c r="C413" s="1" t="s">
        <v>491</v>
      </c>
      <c r="D413" s="1" t="s">
        <v>492</v>
      </c>
      <c r="E413" s="1" t="s">
        <v>24</v>
      </c>
      <c r="F413" s="1" t="s">
        <v>25</v>
      </c>
      <c r="G413" s="1" t="s">
        <v>18</v>
      </c>
      <c r="H413" s="1" t="s">
        <v>19</v>
      </c>
      <c r="I413">
        <v>1</v>
      </c>
      <c r="J413">
        <v>1410.42</v>
      </c>
      <c r="K413">
        <v>0</v>
      </c>
      <c r="L413">
        <v>350.79</v>
      </c>
      <c r="M413" s="1" t="s">
        <v>50</v>
      </c>
    </row>
    <row r="414" spans="1:13" x14ac:dyDescent="0.3">
      <c r="A414" s="1" t="s">
        <v>984</v>
      </c>
      <c r="B414" s="2">
        <v>45710</v>
      </c>
      <c r="C414" s="1" t="s">
        <v>279</v>
      </c>
      <c r="D414" s="1" t="s">
        <v>280</v>
      </c>
      <c r="E414" s="1" t="s">
        <v>37</v>
      </c>
      <c r="F414" s="1" t="s">
        <v>25</v>
      </c>
      <c r="G414" s="1" t="s">
        <v>32</v>
      </c>
      <c r="H414" s="1" t="s">
        <v>54</v>
      </c>
      <c r="I414">
        <v>4</v>
      </c>
      <c r="J414">
        <v>64634.400000000001</v>
      </c>
      <c r="K414">
        <v>0.15</v>
      </c>
      <c r="L414">
        <v>14458.98</v>
      </c>
      <c r="M414" s="1" t="s">
        <v>20</v>
      </c>
    </row>
    <row r="415" spans="1:13" x14ac:dyDescent="0.3">
      <c r="A415" s="1" t="s">
        <v>985</v>
      </c>
      <c r="B415" s="2">
        <v>45717</v>
      </c>
      <c r="C415" s="1" t="s">
        <v>402</v>
      </c>
      <c r="D415" s="1" t="s">
        <v>403</v>
      </c>
      <c r="E415" s="1" t="s">
        <v>24</v>
      </c>
      <c r="F415" s="1" t="s">
        <v>17</v>
      </c>
      <c r="G415" s="1" t="s">
        <v>18</v>
      </c>
      <c r="H415" s="1" t="s">
        <v>97</v>
      </c>
      <c r="I415">
        <v>8</v>
      </c>
      <c r="J415">
        <v>8231.3700000000008</v>
      </c>
      <c r="K415">
        <v>0.15</v>
      </c>
      <c r="L415">
        <v>1995.16</v>
      </c>
      <c r="M415" s="1" t="s">
        <v>28</v>
      </c>
    </row>
    <row r="416" spans="1:13" x14ac:dyDescent="0.3">
      <c r="A416" s="1" t="s">
        <v>986</v>
      </c>
      <c r="B416" s="2">
        <v>45765</v>
      </c>
      <c r="C416" s="1" t="s">
        <v>297</v>
      </c>
      <c r="D416" s="1" t="s">
        <v>298</v>
      </c>
      <c r="E416" s="1" t="s">
        <v>74</v>
      </c>
      <c r="F416" s="1" t="s">
        <v>69</v>
      </c>
      <c r="G416" s="1" t="s">
        <v>26</v>
      </c>
      <c r="H416" s="1" t="s">
        <v>244</v>
      </c>
      <c r="I416">
        <v>6</v>
      </c>
      <c r="J416">
        <v>9041.1299999999992</v>
      </c>
      <c r="K416">
        <v>0.25</v>
      </c>
      <c r="L416">
        <v>2031.51</v>
      </c>
      <c r="M416" s="1" t="s">
        <v>20</v>
      </c>
    </row>
    <row r="417" spans="1:13" x14ac:dyDescent="0.3">
      <c r="A417" s="1" t="s">
        <v>987</v>
      </c>
      <c r="B417" s="2">
        <v>45662</v>
      </c>
      <c r="C417" s="1" t="s">
        <v>988</v>
      </c>
      <c r="D417" s="1" t="s">
        <v>989</v>
      </c>
      <c r="E417" s="1" t="s">
        <v>16</v>
      </c>
      <c r="F417" s="1" t="s">
        <v>25</v>
      </c>
      <c r="G417" s="1" t="s">
        <v>32</v>
      </c>
      <c r="H417" s="1" t="s">
        <v>59</v>
      </c>
      <c r="I417">
        <v>1</v>
      </c>
      <c r="J417">
        <v>17468.900000000001</v>
      </c>
      <c r="K417">
        <v>0.1</v>
      </c>
      <c r="L417">
        <v>2994.84</v>
      </c>
      <c r="M417" s="1" t="s">
        <v>20</v>
      </c>
    </row>
    <row r="418" spans="1:13" x14ac:dyDescent="0.3">
      <c r="A418" s="1" t="s">
        <v>990</v>
      </c>
      <c r="B418" s="2">
        <v>45760</v>
      </c>
      <c r="C418" s="1" t="s">
        <v>991</v>
      </c>
      <c r="D418" s="1" t="s">
        <v>992</v>
      </c>
      <c r="E418" s="1" t="s">
        <v>43</v>
      </c>
      <c r="F418" s="1" t="s">
        <v>25</v>
      </c>
      <c r="G418" s="1" t="s">
        <v>26</v>
      </c>
      <c r="H418" s="1" t="s">
        <v>244</v>
      </c>
      <c r="I418">
        <v>4</v>
      </c>
      <c r="J418">
        <v>15028.27</v>
      </c>
      <c r="K418">
        <v>0.1</v>
      </c>
      <c r="L418">
        <v>3895.66</v>
      </c>
      <c r="M418" s="1" t="s">
        <v>50</v>
      </c>
    </row>
    <row r="419" spans="1:13" x14ac:dyDescent="0.3">
      <c r="A419" s="1" t="s">
        <v>993</v>
      </c>
      <c r="B419" s="2">
        <v>45853</v>
      </c>
      <c r="C419" s="1" t="s">
        <v>994</v>
      </c>
      <c r="D419" s="1" t="s">
        <v>995</v>
      </c>
      <c r="E419" s="1" t="s">
        <v>24</v>
      </c>
      <c r="F419" s="1" t="s">
        <v>69</v>
      </c>
      <c r="G419" s="1" t="s">
        <v>32</v>
      </c>
      <c r="H419" s="1" t="s">
        <v>33</v>
      </c>
      <c r="I419">
        <v>4</v>
      </c>
      <c r="J419">
        <v>67948.3</v>
      </c>
      <c r="K419">
        <v>0</v>
      </c>
      <c r="L419">
        <v>14279.32</v>
      </c>
      <c r="M419" s="1" t="s">
        <v>20</v>
      </c>
    </row>
    <row r="420" spans="1:13" x14ac:dyDescent="0.3">
      <c r="A420" s="1" t="s">
        <v>996</v>
      </c>
      <c r="B420" s="2">
        <v>45919</v>
      </c>
      <c r="C420" s="1" t="s">
        <v>242</v>
      </c>
      <c r="D420" s="1" t="s">
        <v>243</v>
      </c>
      <c r="E420" s="1" t="s">
        <v>74</v>
      </c>
      <c r="F420" s="1" t="s">
        <v>17</v>
      </c>
      <c r="G420" s="1" t="s">
        <v>32</v>
      </c>
      <c r="H420" s="1" t="s">
        <v>33</v>
      </c>
      <c r="I420">
        <v>7</v>
      </c>
      <c r="J420">
        <v>59602.52</v>
      </c>
      <c r="K420">
        <v>0.25</v>
      </c>
      <c r="L420">
        <v>14511.48</v>
      </c>
      <c r="M420" s="1" t="s">
        <v>50</v>
      </c>
    </row>
    <row r="421" spans="1:13" x14ac:dyDescent="0.3">
      <c r="A421" s="1" t="s">
        <v>997</v>
      </c>
      <c r="B421" s="2">
        <v>46022</v>
      </c>
      <c r="C421" s="1" t="s">
        <v>972</v>
      </c>
      <c r="D421" s="1" t="s">
        <v>973</v>
      </c>
      <c r="E421" s="1" t="s">
        <v>43</v>
      </c>
      <c r="F421" s="1" t="s">
        <v>69</v>
      </c>
      <c r="G421" s="1" t="s">
        <v>26</v>
      </c>
      <c r="H421" s="1" t="s">
        <v>231</v>
      </c>
      <c r="I421">
        <v>7</v>
      </c>
      <c r="J421">
        <v>27803.68</v>
      </c>
      <c r="K421">
        <v>0.1</v>
      </c>
      <c r="L421">
        <v>7285.23</v>
      </c>
      <c r="M421" s="1" t="s">
        <v>55</v>
      </c>
    </row>
    <row r="422" spans="1:13" x14ac:dyDescent="0.3">
      <c r="A422" s="1" t="s">
        <v>998</v>
      </c>
      <c r="B422" s="2">
        <v>46007</v>
      </c>
      <c r="C422" s="1" t="s">
        <v>550</v>
      </c>
      <c r="D422" s="1" t="s">
        <v>551</v>
      </c>
      <c r="E422" s="1" t="s">
        <v>74</v>
      </c>
      <c r="F422" s="1" t="s">
        <v>69</v>
      </c>
      <c r="G422" s="1" t="s">
        <v>18</v>
      </c>
      <c r="H422" s="1" t="s">
        <v>19</v>
      </c>
      <c r="I422">
        <v>2</v>
      </c>
      <c r="J422">
        <v>3240.92</v>
      </c>
      <c r="K422">
        <v>0.1</v>
      </c>
      <c r="L422">
        <v>987.09</v>
      </c>
      <c r="M422" s="1" t="s">
        <v>20</v>
      </c>
    </row>
    <row r="423" spans="1:13" x14ac:dyDescent="0.3">
      <c r="A423" s="1" t="s">
        <v>999</v>
      </c>
      <c r="B423" s="2">
        <v>45704</v>
      </c>
      <c r="C423" s="1" t="s">
        <v>1000</v>
      </c>
      <c r="D423" s="1" t="s">
        <v>1001</v>
      </c>
      <c r="E423" s="1" t="s">
        <v>74</v>
      </c>
      <c r="F423" s="1" t="s">
        <v>69</v>
      </c>
      <c r="G423" s="1" t="s">
        <v>44</v>
      </c>
      <c r="H423" s="1" t="s">
        <v>70</v>
      </c>
      <c r="I423">
        <v>4</v>
      </c>
      <c r="J423">
        <v>40549.07</v>
      </c>
      <c r="K423">
        <v>0.1</v>
      </c>
      <c r="L423">
        <v>5873.56</v>
      </c>
      <c r="M423" s="1" t="s">
        <v>50</v>
      </c>
    </row>
    <row r="424" spans="1:13" x14ac:dyDescent="0.3">
      <c r="A424" s="1" t="s">
        <v>1002</v>
      </c>
      <c r="B424" s="2">
        <v>46012</v>
      </c>
      <c r="C424" s="1" t="s">
        <v>665</v>
      </c>
      <c r="D424" s="1" t="s">
        <v>666</v>
      </c>
      <c r="E424" s="1" t="s">
        <v>37</v>
      </c>
      <c r="F424" s="1" t="s">
        <v>25</v>
      </c>
      <c r="G424" s="1" t="s">
        <v>26</v>
      </c>
      <c r="H424" s="1" t="s">
        <v>86</v>
      </c>
      <c r="I424">
        <v>10</v>
      </c>
      <c r="J424">
        <v>28528.52</v>
      </c>
      <c r="K424">
        <v>0.2</v>
      </c>
      <c r="L424">
        <v>7378.94</v>
      </c>
      <c r="M424" s="1" t="s">
        <v>55</v>
      </c>
    </row>
    <row r="425" spans="1:13" x14ac:dyDescent="0.3">
      <c r="A425" s="1" t="s">
        <v>1003</v>
      </c>
      <c r="B425" s="2">
        <v>45968</v>
      </c>
      <c r="C425" s="1" t="s">
        <v>665</v>
      </c>
      <c r="D425" s="1" t="s">
        <v>666</v>
      </c>
      <c r="E425" s="1" t="s">
        <v>37</v>
      </c>
      <c r="F425" s="1" t="s">
        <v>25</v>
      </c>
      <c r="G425" s="1" t="s">
        <v>44</v>
      </c>
      <c r="H425" s="1" t="s">
        <v>75</v>
      </c>
      <c r="I425">
        <v>2</v>
      </c>
      <c r="J425">
        <v>17485.009999999998</v>
      </c>
      <c r="K425">
        <v>0.1</v>
      </c>
      <c r="L425">
        <v>3177.54</v>
      </c>
      <c r="M425" s="1" t="s">
        <v>55</v>
      </c>
    </row>
    <row r="426" spans="1:13" x14ac:dyDescent="0.3">
      <c r="A426" s="1" t="s">
        <v>1004</v>
      </c>
      <c r="B426" s="2">
        <v>45965</v>
      </c>
      <c r="C426" s="1" t="s">
        <v>312</v>
      </c>
      <c r="D426" s="1" t="s">
        <v>313</v>
      </c>
      <c r="E426" s="1" t="s">
        <v>43</v>
      </c>
      <c r="F426" s="1" t="s">
        <v>25</v>
      </c>
      <c r="G426" s="1" t="s">
        <v>32</v>
      </c>
      <c r="H426" s="1" t="s">
        <v>38</v>
      </c>
      <c r="I426">
        <v>1</v>
      </c>
      <c r="J426">
        <v>16703.490000000002</v>
      </c>
      <c r="K426">
        <v>0.15</v>
      </c>
      <c r="L426">
        <v>3441.58</v>
      </c>
      <c r="M426" s="1" t="s">
        <v>28</v>
      </c>
    </row>
    <row r="427" spans="1:13" x14ac:dyDescent="0.3">
      <c r="A427" s="1" t="s">
        <v>1005</v>
      </c>
      <c r="B427" s="2">
        <v>45801</v>
      </c>
      <c r="C427" s="1" t="s">
        <v>479</v>
      </c>
      <c r="D427" s="1" t="s">
        <v>480</v>
      </c>
      <c r="E427" s="1" t="s">
        <v>24</v>
      </c>
      <c r="F427" s="1" t="s">
        <v>25</v>
      </c>
      <c r="G427" s="1" t="s">
        <v>32</v>
      </c>
      <c r="H427" s="1" t="s">
        <v>33</v>
      </c>
      <c r="I427">
        <v>2</v>
      </c>
      <c r="J427">
        <v>25197.42</v>
      </c>
      <c r="K427">
        <v>0.05</v>
      </c>
      <c r="L427">
        <v>6330.41</v>
      </c>
      <c r="M427" s="1" t="s">
        <v>55</v>
      </c>
    </row>
    <row r="428" spans="1:13" x14ac:dyDescent="0.3">
      <c r="A428" s="1" t="s">
        <v>1006</v>
      </c>
      <c r="B428" s="2">
        <v>45926</v>
      </c>
      <c r="C428" s="1" t="s">
        <v>1007</v>
      </c>
      <c r="D428" s="1" t="s">
        <v>1008</v>
      </c>
      <c r="E428" s="1" t="s">
        <v>43</v>
      </c>
      <c r="F428" s="1" t="s">
        <v>69</v>
      </c>
      <c r="G428" s="1" t="s">
        <v>32</v>
      </c>
      <c r="H428" s="1" t="s">
        <v>79</v>
      </c>
      <c r="I428">
        <v>5</v>
      </c>
      <c r="J428">
        <v>61413.93</v>
      </c>
      <c r="K428">
        <v>0.2</v>
      </c>
      <c r="L428">
        <v>13842.66</v>
      </c>
      <c r="M428" s="1" t="s">
        <v>55</v>
      </c>
    </row>
    <row r="429" spans="1:13" x14ac:dyDescent="0.3">
      <c r="A429" s="1" t="s">
        <v>1009</v>
      </c>
      <c r="B429" s="2">
        <v>45781</v>
      </c>
      <c r="C429" s="1" t="s">
        <v>893</v>
      </c>
      <c r="D429" s="1" t="s">
        <v>894</v>
      </c>
      <c r="E429" s="1" t="s">
        <v>24</v>
      </c>
      <c r="F429" s="1" t="s">
        <v>69</v>
      </c>
      <c r="G429" s="1" t="s">
        <v>32</v>
      </c>
      <c r="H429" s="1" t="s">
        <v>38</v>
      </c>
      <c r="I429">
        <v>9</v>
      </c>
      <c r="J429">
        <v>181469.81</v>
      </c>
      <c r="K429">
        <v>0</v>
      </c>
      <c r="L429">
        <v>30919.5</v>
      </c>
      <c r="M429" s="1" t="s">
        <v>55</v>
      </c>
    </row>
    <row r="430" spans="1:13" x14ac:dyDescent="0.3">
      <c r="A430" s="1" t="s">
        <v>1010</v>
      </c>
      <c r="B430" s="2">
        <v>45763</v>
      </c>
      <c r="C430" s="1" t="s">
        <v>1011</v>
      </c>
      <c r="D430" s="1" t="s">
        <v>1012</v>
      </c>
      <c r="E430" s="1" t="s">
        <v>37</v>
      </c>
      <c r="F430" s="1" t="s">
        <v>25</v>
      </c>
      <c r="G430" s="1" t="s">
        <v>44</v>
      </c>
      <c r="H430" s="1" t="s">
        <v>70</v>
      </c>
      <c r="I430">
        <v>5</v>
      </c>
      <c r="J430">
        <v>67574.73</v>
      </c>
      <c r="K430">
        <v>0</v>
      </c>
      <c r="L430">
        <v>12078.2</v>
      </c>
      <c r="M430" s="1" t="s">
        <v>50</v>
      </c>
    </row>
    <row r="431" spans="1:13" x14ac:dyDescent="0.3">
      <c r="A431" s="1" t="s">
        <v>1013</v>
      </c>
      <c r="B431" s="2">
        <v>45815</v>
      </c>
      <c r="C431" s="1" t="s">
        <v>1014</v>
      </c>
      <c r="D431" s="1" t="s">
        <v>1015</v>
      </c>
      <c r="E431" s="1" t="s">
        <v>37</v>
      </c>
      <c r="F431" s="1" t="s">
        <v>69</v>
      </c>
      <c r="G431" s="1" t="s">
        <v>32</v>
      </c>
      <c r="H431" s="1" t="s">
        <v>33</v>
      </c>
      <c r="I431">
        <v>2</v>
      </c>
      <c r="J431">
        <v>34919.85</v>
      </c>
      <c r="K431">
        <v>0.15</v>
      </c>
      <c r="L431">
        <v>6981.29</v>
      </c>
      <c r="M431" s="1" t="s">
        <v>55</v>
      </c>
    </row>
    <row r="432" spans="1:13" x14ac:dyDescent="0.3">
      <c r="A432" s="1" t="s">
        <v>1016</v>
      </c>
      <c r="B432" s="2">
        <v>45804</v>
      </c>
      <c r="C432" s="1" t="s">
        <v>792</v>
      </c>
      <c r="D432" s="1" t="s">
        <v>793</v>
      </c>
      <c r="E432" s="1" t="s">
        <v>43</v>
      </c>
      <c r="F432" s="1" t="s">
        <v>69</v>
      </c>
      <c r="G432" s="1" t="s">
        <v>18</v>
      </c>
      <c r="H432" s="1" t="s">
        <v>19</v>
      </c>
      <c r="I432">
        <v>3</v>
      </c>
      <c r="J432">
        <v>7049.18</v>
      </c>
      <c r="K432">
        <v>0.15</v>
      </c>
      <c r="L432">
        <v>2045.24</v>
      </c>
      <c r="M432" s="1" t="s">
        <v>55</v>
      </c>
    </row>
    <row r="433" spans="1:13" x14ac:dyDescent="0.3">
      <c r="A433" s="1" t="s">
        <v>1017</v>
      </c>
      <c r="B433" s="2">
        <v>45802</v>
      </c>
      <c r="C433" s="1" t="s">
        <v>919</v>
      </c>
      <c r="D433" s="1" t="s">
        <v>920</v>
      </c>
      <c r="E433" s="1" t="s">
        <v>24</v>
      </c>
      <c r="F433" s="1" t="s">
        <v>25</v>
      </c>
      <c r="G433" s="1" t="s">
        <v>18</v>
      </c>
      <c r="H433" s="1" t="s">
        <v>145</v>
      </c>
      <c r="I433">
        <v>9</v>
      </c>
      <c r="J433">
        <v>13107.34</v>
      </c>
      <c r="K433">
        <v>0.15</v>
      </c>
      <c r="L433">
        <v>3604.98</v>
      </c>
      <c r="M433" s="1" t="s">
        <v>50</v>
      </c>
    </row>
    <row r="434" spans="1:13" x14ac:dyDescent="0.3">
      <c r="A434" s="1" t="s">
        <v>1018</v>
      </c>
      <c r="B434" s="2">
        <v>45777</v>
      </c>
      <c r="C434" s="1" t="s">
        <v>67</v>
      </c>
      <c r="D434" s="1" t="s">
        <v>68</v>
      </c>
      <c r="E434" s="1" t="s">
        <v>37</v>
      </c>
      <c r="F434" s="1" t="s">
        <v>69</v>
      </c>
      <c r="G434" s="1" t="s">
        <v>18</v>
      </c>
      <c r="H434" s="1" t="s">
        <v>122</v>
      </c>
      <c r="I434">
        <v>10</v>
      </c>
      <c r="J434">
        <v>12894.5</v>
      </c>
      <c r="K434">
        <v>0.05</v>
      </c>
      <c r="L434">
        <v>3931.03</v>
      </c>
      <c r="M434" s="1" t="s">
        <v>55</v>
      </c>
    </row>
    <row r="435" spans="1:13" x14ac:dyDescent="0.3">
      <c r="A435" s="1" t="s">
        <v>1019</v>
      </c>
      <c r="B435" s="2">
        <v>45976</v>
      </c>
      <c r="C435" s="1" t="s">
        <v>587</v>
      </c>
      <c r="D435" s="1" t="s">
        <v>588</v>
      </c>
      <c r="E435" s="1" t="s">
        <v>37</v>
      </c>
      <c r="F435" s="1" t="s">
        <v>69</v>
      </c>
      <c r="G435" s="1" t="s">
        <v>32</v>
      </c>
      <c r="H435" s="1" t="s">
        <v>38</v>
      </c>
      <c r="I435">
        <v>2</v>
      </c>
      <c r="J435">
        <v>24623.05</v>
      </c>
      <c r="K435">
        <v>0.1</v>
      </c>
      <c r="L435">
        <v>6396.96</v>
      </c>
      <c r="M435" s="1" t="s">
        <v>55</v>
      </c>
    </row>
    <row r="436" spans="1:13" x14ac:dyDescent="0.3">
      <c r="A436" s="1" t="s">
        <v>1020</v>
      </c>
      <c r="B436" s="2">
        <v>45932</v>
      </c>
      <c r="C436" s="1" t="s">
        <v>1021</v>
      </c>
      <c r="D436" s="1" t="s">
        <v>1022</v>
      </c>
      <c r="E436" s="1" t="s">
        <v>16</v>
      </c>
      <c r="F436" s="1" t="s">
        <v>25</v>
      </c>
      <c r="G436" s="1" t="s">
        <v>44</v>
      </c>
      <c r="H436" s="1" t="s">
        <v>155</v>
      </c>
      <c r="I436">
        <v>4</v>
      </c>
      <c r="J436">
        <v>22943.71</v>
      </c>
      <c r="K436">
        <v>0</v>
      </c>
      <c r="L436">
        <v>3803.98</v>
      </c>
      <c r="M436" s="1" t="s">
        <v>55</v>
      </c>
    </row>
    <row r="437" spans="1:13" x14ac:dyDescent="0.3">
      <c r="A437" s="1" t="s">
        <v>1023</v>
      </c>
      <c r="B437" s="2">
        <v>45749</v>
      </c>
      <c r="C437" s="1" t="s">
        <v>947</v>
      </c>
      <c r="D437" s="1" t="s">
        <v>948</v>
      </c>
      <c r="E437" s="1" t="s">
        <v>37</v>
      </c>
      <c r="F437" s="1" t="s">
        <v>25</v>
      </c>
      <c r="G437" s="1" t="s">
        <v>18</v>
      </c>
      <c r="H437" s="1" t="s">
        <v>122</v>
      </c>
      <c r="I437">
        <v>3</v>
      </c>
      <c r="J437">
        <v>4784.4399999999996</v>
      </c>
      <c r="K437">
        <v>0.15</v>
      </c>
      <c r="L437">
        <v>1509.76</v>
      </c>
      <c r="M437" s="1" t="s">
        <v>55</v>
      </c>
    </row>
    <row r="438" spans="1:13" x14ac:dyDescent="0.3">
      <c r="A438" s="1" t="s">
        <v>1024</v>
      </c>
      <c r="B438" s="2">
        <v>45715</v>
      </c>
      <c r="C438" s="1" t="s">
        <v>1025</v>
      </c>
      <c r="D438" s="1" t="s">
        <v>1026</v>
      </c>
      <c r="E438" s="1" t="s">
        <v>16</v>
      </c>
      <c r="F438" s="1" t="s">
        <v>25</v>
      </c>
      <c r="G438" s="1" t="s">
        <v>18</v>
      </c>
      <c r="H438" s="1" t="s">
        <v>122</v>
      </c>
      <c r="I438">
        <v>6</v>
      </c>
      <c r="J438">
        <v>5686.46</v>
      </c>
      <c r="K438">
        <v>0.2</v>
      </c>
      <c r="L438">
        <v>1657.11</v>
      </c>
      <c r="M438" s="1" t="s">
        <v>55</v>
      </c>
    </row>
    <row r="439" spans="1:13" x14ac:dyDescent="0.3">
      <c r="A439" s="1" t="s">
        <v>1027</v>
      </c>
      <c r="B439" s="2">
        <v>46003</v>
      </c>
      <c r="C439" s="1" t="s">
        <v>102</v>
      </c>
      <c r="D439" s="1" t="s">
        <v>103</v>
      </c>
      <c r="E439" s="1" t="s">
        <v>74</v>
      </c>
      <c r="F439" s="1" t="s">
        <v>25</v>
      </c>
      <c r="G439" s="1" t="s">
        <v>32</v>
      </c>
      <c r="H439" s="1" t="s">
        <v>54</v>
      </c>
      <c r="I439">
        <v>5</v>
      </c>
      <c r="J439">
        <v>74300.710000000006</v>
      </c>
      <c r="K439">
        <v>0.2</v>
      </c>
      <c r="L439">
        <v>13982.04</v>
      </c>
      <c r="M439" s="1" t="s">
        <v>55</v>
      </c>
    </row>
    <row r="440" spans="1:13" x14ac:dyDescent="0.3">
      <c r="A440" s="1" t="s">
        <v>1028</v>
      </c>
      <c r="B440" s="2">
        <v>45886</v>
      </c>
      <c r="C440" s="1" t="s">
        <v>169</v>
      </c>
      <c r="D440" s="1" t="s">
        <v>170</v>
      </c>
      <c r="E440" s="1" t="s">
        <v>37</v>
      </c>
      <c r="F440" s="1" t="s">
        <v>25</v>
      </c>
      <c r="G440" s="1" t="s">
        <v>32</v>
      </c>
      <c r="H440" s="1" t="s">
        <v>59</v>
      </c>
      <c r="I440">
        <v>6</v>
      </c>
      <c r="J440">
        <v>63986.65</v>
      </c>
      <c r="K440">
        <v>0</v>
      </c>
      <c r="L440">
        <v>12938.53</v>
      </c>
      <c r="M440" s="1" t="s">
        <v>50</v>
      </c>
    </row>
    <row r="441" spans="1:13" x14ac:dyDescent="0.3">
      <c r="A441" s="1" t="s">
        <v>1029</v>
      </c>
      <c r="B441" s="2">
        <v>45774</v>
      </c>
      <c r="C441" s="1" t="s">
        <v>929</v>
      </c>
      <c r="D441" s="1" t="s">
        <v>930</v>
      </c>
      <c r="E441" s="1" t="s">
        <v>43</v>
      </c>
      <c r="F441" s="1" t="s">
        <v>25</v>
      </c>
      <c r="G441" s="1" t="s">
        <v>26</v>
      </c>
      <c r="H441" s="1" t="s">
        <v>244</v>
      </c>
      <c r="I441">
        <v>6</v>
      </c>
      <c r="J441">
        <v>19655.2</v>
      </c>
      <c r="K441">
        <v>0.05</v>
      </c>
      <c r="L441">
        <v>4034.87</v>
      </c>
      <c r="M441" s="1" t="s">
        <v>50</v>
      </c>
    </row>
    <row r="442" spans="1:13" x14ac:dyDescent="0.3">
      <c r="A442" s="1" t="s">
        <v>1030</v>
      </c>
      <c r="B442" s="2">
        <v>45975</v>
      </c>
      <c r="C442" s="1" t="s">
        <v>1031</v>
      </c>
      <c r="D442" s="1" t="s">
        <v>1032</v>
      </c>
      <c r="E442" s="1" t="s">
        <v>16</v>
      </c>
      <c r="F442" s="1" t="s">
        <v>69</v>
      </c>
      <c r="G442" s="1" t="s">
        <v>32</v>
      </c>
      <c r="H442" s="1" t="s">
        <v>54</v>
      </c>
      <c r="I442">
        <v>10</v>
      </c>
      <c r="J442">
        <v>90248.17</v>
      </c>
      <c r="K442">
        <v>0.1</v>
      </c>
      <c r="L442">
        <v>20912.25</v>
      </c>
      <c r="M442" s="1" t="s">
        <v>39</v>
      </c>
    </row>
    <row r="443" spans="1:13" x14ac:dyDescent="0.3">
      <c r="A443" s="1" t="s">
        <v>1033</v>
      </c>
      <c r="B443" s="2">
        <v>45936</v>
      </c>
      <c r="C443" s="1" t="s">
        <v>515</v>
      </c>
      <c r="D443" s="1" t="s">
        <v>516</v>
      </c>
      <c r="E443" s="1" t="s">
        <v>43</v>
      </c>
      <c r="F443" s="1" t="s">
        <v>69</v>
      </c>
      <c r="G443" s="1" t="s">
        <v>44</v>
      </c>
      <c r="H443" s="1" t="s">
        <v>155</v>
      </c>
      <c r="I443">
        <v>6</v>
      </c>
      <c r="J443">
        <v>35951.03</v>
      </c>
      <c r="K443">
        <v>0.15</v>
      </c>
      <c r="L443">
        <v>6914.75</v>
      </c>
      <c r="M443" s="1" t="s">
        <v>50</v>
      </c>
    </row>
    <row r="444" spans="1:13" x14ac:dyDescent="0.3">
      <c r="A444" s="1" t="s">
        <v>1034</v>
      </c>
      <c r="B444" s="2">
        <v>45784</v>
      </c>
      <c r="C444" s="1" t="s">
        <v>521</v>
      </c>
      <c r="D444" s="1" t="s">
        <v>522</v>
      </c>
      <c r="E444" s="1" t="s">
        <v>16</v>
      </c>
      <c r="F444" s="1" t="s">
        <v>25</v>
      </c>
      <c r="G444" s="1" t="s">
        <v>18</v>
      </c>
      <c r="H444" s="1" t="s">
        <v>97</v>
      </c>
      <c r="I444">
        <v>10</v>
      </c>
      <c r="J444">
        <v>23309.82</v>
      </c>
      <c r="K444">
        <v>0.05</v>
      </c>
      <c r="L444">
        <v>7166.42</v>
      </c>
      <c r="M444" s="1" t="s">
        <v>55</v>
      </c>
    </row>
    <row r="445" spans="1:13" x14ac:dyDescent="0.3">
      <c r="A445" s="1" t="s">
        <v>1035</v>
      </c>
      <c r="B445" s="2">
        <v>45786</v>
      </c>
      <c r="C445" s="1" t="s">
        <v>1036</v>
      </c>
      <c r="D445" s="1" t="s">
        <v>1037</v>
      </c>
      <c r="E445" s="1" t="s">
        <v>43</v>
      </c>
      <c r="F445" s="1" t="s">
        <v>69</v>
      </c>
      <c r="G445" s="1" t="s">
        <v>18</v>
      </c>
      <c r="H445" s="1" t="s">
        <v>97</v>
      </c>
      <c r="I445">
        <v>7</v>
      </c>
      <c r="J445">
        <v>16368.21</v>
      </c>
      <c r="K445">
        <v>0.1</v>
      </c>
      <c r="L445">
        <v>4235.8999999999996</v>
      </c>
      <c r="M445" s="1" t="s">
        <v>50</v>
      </c>
    </row>
    <row r="446" spans="1:13" x14ac:dyDescent="0.3">
      <c r="A446" s="1" t="s">
        <v>1038</v>
      </c>
      <c r="B446" s="2">
        <v>45715</v>
      </c>
      <c r="C446" s="1" t="s">
        <v>376</v>
      </c>
      <c r="D446" s="1" t="s">
        <v>377</v>
      </c>
      <c r="E446" s="1" t="s">
        <v>43</v>
      </c>
      <c r="F446" s="1" t="s">
        <v>25</v>
      </c>
      <c r="G446" s="1" t="s">
        <v>26</v>
      </c>
      <c r="H446" s="1" t="s">
        <v>244</v>
      </c>
      <c r="I446">
        <v>7</v>
      </c>
      <c r="J446">
        <v>13236.92</v>
      </c>
      <c r="K446">
        <v>0</v>
      </c>
      <c r="L446">
        <v>3472.73</v>
      </c>
      <c r="M446" s="1" t="s">
        <v>28</v>
      </c>
    </row>
    <row r="447" spans="1:13" x14ac:dyDescent="0.3">
      <c r="A447" s="1" t="s">
        <v>1039</v>
      </c>
      <c r="B447" s="2">
        <v>45779</v>
      </c>
      <c r="C447" s="1" t="s">
        <v>595</v>
      </c>
      <c r="D447" s="1" t="s">
        <v>596</v>
      </c>
      <c r="E447" s="1" t="s">
        <v>24</v>
      </c>
      <c r="F447" s="1" t="s">
        <v>25</v>
      </c>
      <c r="G447" s="1" t="s">
        <v>18</v>
      </c>
      <c r="H447" s="1" t="s">
        <v>145</v>
      </c>
      <c r="I447">
        <v>7</v>
      </c>
      <c r="J447">
        <v>11719.87</v>
      </c>
      <c r="K447">
        <v>0.1</v>
      </c>
      <c r="L447">
        <v>2783.35</v>
      </c>
      <c r="M447" s="1" t="s">
        <v>28</v>
      </c>
    </row>
    <row r="448" spans="1:13" x14ac:dyDescent="0.3">
      <c r="A448" s="1" t="s">
        <v>1040</v>
      </c>
      <c r="B448" s="2">
        <v>45658</v>
      </c>
      <c r="C448" s="1" t="s">
        <v>545</v>
      </c>
      <c r="D448" s="1" t="s">
        <v>546</v>
      </c>
      <c r="E448" s="1" t="s">
        <v>24</v>
      </c>
      <c r="F448" s="1" t="s">
        <v>25</v>
      </c>
      <c r="G448" s="1" t="s">
        <v>26</v>
      </c>
      <c r="H448" s="1" t="s">
        <v>27</v>
      </c>
      <c r="I448">
        <v>4</v>
      </c>
      <c r="J448">
        <v>8908.74</v>
      </c>
      <c r="K448">
        <v>0.25</v>
      </c>
      <c r="L448">
        <v>2197.12</v>
      </c>
      <c r="M448" s="1" t="s">
        <v>20</v>
      </c>
    </row>
    <row r="449" spans="1:13" x14ac:dyDescent="0.3">
      <c r="A449" s="1" t="s">
        <v>1041</v>
      </c>
      <c r="B449" s="2">
        <v>45896</v>
      </c>
      <c r="C449" s="1" t="s">
        <v>783</v>
      </c>
      <c r="D449" s="1" t="s">
        <v>784</v>
      </c>
      <c r="E449" s="1" t="s">
        <v>24</v>
      </c>
      <c r="F449" s="1" t="s">
        <v>25</v>
      </c>
      <c r="G449" s="1" t="s">
        <v>18</v>
      </c>
      <c r="H449" s="1" t="s">
        <v>145</v>
      </c>
      <c r="I449">
        <v>5</v>
      </c>
      <c r="J449">
        <v>7208.01</v>
      </c>
      <c r="K449">
        <v>0</v>
      </c>
      <c r="L449">
        <v>1941.31</v>
      </c>
      <c r="M449" s="1" t="s">
        <v>50</v>
      </c>
    </row>
    <row r="450" spans="1:13" x14ac:dyDescent="0.3">
      <c r="A450" s="1" t="s">
        <v>1042</v>
      </c>
      <c r="B450" s="2">
        <v>45947</v>
      </c>
      <c r="C450" s="1" t="s">
        <v>764</v>
      </c>
      <c r="D450" s="1" t="s">
        <v>765</v>
      </c>
      <c r="E450" s="1" t="s">
        <v>74</v>
      </c>
      <c r="F450" s="1" t="s">
        <v>69</v>
      </c>
      <c r="G450" s="1" t="s">
        <v>26</v>
      </c>
      <c r="H450" s="1" t="s">
        <v>244</v>
      </c>
      <c r="I450">
        <v>5</v>
      </c>
      <c r="J450">
        <v>8833.1299999999992</v>
      </c>
      <c r="K450">
        <v>0.15</v>
      </c>
      <c r="L450">
        <v>2620.15</v>
      </c>
      <c r="M450" s="1" t="s">
        <v>39</v>
      </c>
    </row>
    <row r="451" spans="1:13" x14ac:dyDescent="0.3">
      <c r="A451" s="1" t="s">
        <v>1043</v>
      </c>
      <c r="B451" s="2">
        <v>45753</v>
      </c>
      <c r="C451" s="1" t="s">
        <v>1044</v>
      </c>
      <c r="D451" s="1" t="s">
        <v>1045</v>
      </c>
      <c r="E451" s="1" t="s">
        <v>43</v>
      </c>
      <c r="F451" s="1" t="s">
        <v>25</v>
      </c>
      <c r="G451" s="1" t="s">
        <v>26</v>
      </c>
      <c r="H451" s="1" t="s">
        <v>244</v>
      </c>
      <c r="I451">
        <v>3</v>
      </c>
      <c r="J451">
        <v>11264.79</v>
      </c>
      <c r="K451">
        <v>0.05</v>
      </c>
      <c r="L451">
        <v>2479.9</v>
      </c>
      <c r="M451" s="1" t="s">
        <v>28</v>
      </c>
    </row>
    <row r="452" spans="1:13" x14ac:dyDescent="0.3">
      <c r="A452" s="1" t="s">
        <v>1046</v>
      </c>
      <c r="B452" s="2">
        <v>45783</v>
      </c>
      <c r="C452" s="1" t="s">
        <v>1047</v>
      </c>
      <c r="D452" s="1" t="s">
        <v>1048</v>
      </c>
      <c r="E452" s="1" t="s">
        <v>24</v>
      </c>
      <c r="F452" s="1" t="s">
        <v>25</v>
      </c>
      <c r="G452" s="1" t="s">
        <v>32</v>
      </c>
      <c r="H452" s="1" t="s">
        <v>38</v>
      </c>
      <c r="I452">
        <v>8</v>
      </c>
      <c r="J452">
        <v>72768.789999999994</v>
      </c>
      <c r="K452">
        <v>0.1</v>
      </c>
      <c r="L452">
        <v>13568.46</v>
      </c>
      <c r="M452" s="1" t="s">
        <v>28</v>
      </c>
    </row>
    <row r="453" spans="1:13" x14ac:dyDescent="0.3">
      <c r="A453" s="1" t="s">
        <v>1049</v>
      </c>
      <c r="B453" s="2">
        <v>45775</v>
      </c>
      <c r="C453" s="1" t="s">
        <v>1050</v>
      </c>
      <c r="D453" s="1" t="s">
        <v>1051</v>
      </c>
      <c r="E453" s="1" t="s">
        <v>43</v>
      </c>
      <c r="F453" s="1" t="s">
        <v>25</v>
      </c>
      <c r="G453" s="1" t="s">
        <v>18</v>
      </c>
      <c r="H453" s="1" t="s">
        <v>19</v>
      </c>
      <c r="I453">
        <v>10</v>
      </c>
      <c r="J453">
        <v>18745.5</v>
      </c>
      <c r="K453">
        <v>0.2</v>
      </c>
      <c r="L453">
        <v>5705.07</v>
      </c>
      <c r="M453" s="1" t="s">
        <v>55</v>
      </c>
    </row>
    <row r="454" spans="1:13" x14ac:dyDescent="0.3">
      <c r="A454" s="1" t="s">
        <v>1052</v>
      </c>
      <c r="B454" s="2">
        <v>45705</v>
      </c>
      <c r="C454" s="1" t="s">
        <v>443</v>
      </c>
      <c r="D454" s="1" t="s">
        <v>444</v>
      </c>
      <c r="E454" s="1" t="s">
        <v>43</v>
      </c>
      <c r="F454" s="1" t="s">
        <v>25</v>
      </c>
      <c r="G454" s="1" t="s">
        <v>26</v>
      </c>
      <c r="H454" s="1" t="s">
        <v>86</v>
      </c>
      <c r="I454">
        <v>10</v>
      </c>
      <c r="J454">
        <v>34220.22</v>
      </c>
      <c r="K454">
        <v>0.05</v>
      </c>
      <c r="L454">
        <v>8834.7099999999991</v>
      </c>
      <c r="M454" s="1" t="s">
        <v>20</v>
      </c>
    </row>
    <row r="455" spans="1:13" x14ac:dyDescent="0.3">
      <c r="A455" s="1" t="s">
        <v>1053</v>
      </c>
      <c r="B455" s="2">
        <v>45746</v>
      </c>
      <c r="C455" s="1" t="s">
        <v>1054</v>
      </c>
      <c r="D455" s="1" t="s">
        <v>1055</v>
      </c>
      <c r="E455" s="1" t="s">
        <v>43</v>
      </c>
      <c r="F455" s="1" t="s">
        <v>69</v>
      </c>
      <c r="G455" s="1" t="s">
        <v>18</v>
      </c>
      <c r="H455" s="1" t="s">
        <v>145</v>
      </c>
      <c r="I455">
        <v>4</v>
      </c>
      <c r="J455">
        <v>8026.78</v>
      </c>
      <c r="K455">
        <v>0.05</v>
      </c>
      <c r="L455">
        <v>2094.7399999999998</v>
      </c>
      <c r="M455" s="1" t="s">
        <v>28</v>
      </c>
    </row>
    <row r="456" spans="1:13" x14ac:dyDescent="0.3">
      <c r="A456" s="1" t="s">
        <v>1056</v>
      </c>
      <c r="B456" s="2">
        <v>45894</v>
      </c>
      <c r="C456" s="1" t="s">
        <v>719</v>
      </c>
      <c r="D456" s="1" t="s">
        <v>720</v>
      </c>
      <c r="E456" s="1" t="s">
        <v>16</v>
      </c>
      <c r="F456" s="1" t="s">
        <v>25</v>
      </c>
      <c r="G456" s="1" t="s">
        <v>26</v>
      </c>
      <c r="H456" s="1" t="s">
        <v>86</v>
      </c>
      <c r="I456">
        <v>5</v>
      </c>
      <c r="J456">
        <v>14029.6</v>
      </c>
      <c r="K456">
        <v>0.05</v>
      </c>
      <c r="L456">
        <v>3782.09</v>
      </c>
      <c r="M456" s="1" t="s">
        <v>39</v>
      </c>
    </row>
    <row r="457" spans="1:13" x14ac:dyDescent="0.3">
      <c r="A457" s="1" t="s">
        <v>1057</v>
      </c>
      <c r="B457" s="2">
        <v>45929</v>
      </c>
      <c r="C457" s="1" t="s">
        <v>431</v>
      </c>
      <c r="D457" s="1" t="s">
        <v>432</v>
      </c>
      <c r="E457" s="1" t="s">
        <v>37</v>
      </c>
      <c r="F457" s="1" t="s">
        <v>25</v>
      </c>
      <c r="G457" s="1" t="s">
        <v>26</v>
      </c>
      <c r="H457" s="1" t="s">
        <v>244</v>
      </c>
      <c r="I457">
        <v>7</v>
      </c>
      <c r="J457">
        <v>16153.59</v>
      </c>
      <c r="K457">
        <v>0.05</v>
      </c>
      <c r="L457">
        <v>3559.5</v>
      </c>
      <c r="M457" s="1" t="s">
        <v>20</v>
      </c>
    </row>
    <row r="458" spans="1:13" x14ac:dyDescent="0.3">
      <c r="A458" s="1" t="s">
        <v>1058</v>
      </c>
      <c r="B458" s="2">
        <v>45846</v>
      </c>
      <c r="C458" s="1" t="s">
        <v>133</v>
      </c>
      <c r="D458" s="1" t="s">
        <v>134</v>
      </c>
      <c r="E458" s="1" t="s">
        <v>16</v>
      </c>
      <c r="F458" s="1" t="s">
        <v>25</v>
      </c>
      <c r="G458" s="1" t="s">
        <v>18</v>
      </c>
      <c r="H458" s="1" t="s">
        <v>145</v>
      </c>
      <c r="I458">
        <v>10</v>
      </c>
      <c r="J458">
        <v>19679.84</v>
      </c>
      <c r="K458">
        <v>0.2</v>
      </c>
      <c r="L458">
        <v>4697</v>
      </c>
      <c r="M458" s="1" t="s">
        <v>55</v>
      </c>
    </row>
    <row r="459" spans="1:13" x14ac:dyDescent="0.3">
      <c r="A459" s="1" t="s">
        <v>1059</v>
      </c>
      <c r="B459" s="2">
        <v>45849</v>
      </c>
      <c r="C459" s="1" t="s">
        <v>1060</v>
      </c>
      <c r="D459" s="1" t="s">
        <v>1061</v>
      </c>
      <c r="E459" s="1" t="s">
        <v>43</v>
      </c>
      <c r="F459" s="1" t="s">
        <v>25</v>
      </c>
      <c r="G459" s="1" t="s">
        <v>26</v>
      </c>
      <c r="H459" s="1" t="s">
        <v>86</v>
      </c>
      <c r="I459">
        <v>2</v>
      </c>
      <c r="J459">
        <v>6663.29</v>
      </c>
      <c r="K459">
        <v>0.2</v>
      </c>
      <c r="L459">
        <v>1783.51</v>
      </c>
      <c r="M459" s="1" t="s">
        <v>55</v>
      </c>
    </row>
    <row r="460" spans="1:13" x14ac:dyDescent="0.3">
      <c r="A460" s="1" t="s">
        <v>1062</v>
      </c>
      <c r="B460" s="2">
        <v>45726</v>
      </c>
      <c r="C460" s="1" t="s">
        <v>1063</v>
      </c>
      <c r="D460" s="1" t="s">
        <v>1064</v>
      </c>
      <c r="E460" s="1" t="s">
        <v>24</v>
      </c>
      <c r="F460" s="1" t="s">
        <v>25</v>
      </c>
      <c r="G460" s="1" t="s">
        <v>26</v>
      </c>
      <c r="H460" s="1" t="s">
        <v>86</v>
      </c>
      <c r="I460">
        <v>8</v>
      </c>
      <c r="J460">
        <v>28294.36</v>
      </c>
      <c r="K460">
        <v>0.25</v>
      </c>
      <c r="L460">
        <v>5750.69</v>
      </c>
      <c r="M460" s="1" t="s">
        <v>28</v>
      </c>
    </row>
    <row r="461" spans="1:13" x14ac:dyDescent="0.3">
      <c r="A461" s="1" t="s">
        <v>1065</v>
      </c>
      <c r="B461" s="2">
        <v>45935</v>
      </c>
      <c r="C461" s="1" t="s">
        <v>270</v>
      </c>
      <c r="D461" s="1" t="s">
        <v>271</v>
      </c>
      <c r="E461" s="1" t="s">
        <v>43</v>
      </c>
      <c r="F461" s="1" t="s">
        <v>25</v>
      </c>
      <c r="G461" s="1" t="s">
        <v>18</v>
      </c>
      <c r="H461" s="1" t="s">
        <v>145</v>
      </c>
      <c r="I461">
        <v>6</v>
      </c>
      <c r="J461">
        <v>14072.45</v>
      </c>
      <c r="K461">
        <v>0.15</v>
      </c>
      <c r="L461">
        <v>4246.6099999999997</v>
      </c>
      <c r="M461" s="1" t="s">
        <v>39</v>
      </c>
    </row>
    <row r="462" spans="1:13" x14ac:dyDescent="0.3">
      <c r="A462" s="1" t="s">
        <v>1066</v>
      </c>
      <c r="B462" s="2">
        <v>46006</v>
      </c>
      <c r="C462" s="1" t="s">
        <v>893</v>
      </c>
      <c r="D462" s="1" t="s">
        <v>894</v>
      </c>
      <c r="E462" s="1" t="s">
        <v>74</v>
      </c>
      <c r="F462" s="1" t="s">
        <v>25</v>
      </c>
      <c r="G462" s="1" t="s">
        <v>18</v>
      </c>
      <c r="H462" s="1" t="s">
        <v>122</v>
      </c>
      <c r="I462">
        <v>5</v>
      </c>
      <c r="J462">
        <v>5260.73</v>
      </c>
      <c r="K462">
        <v>0.2</v>
      </c>
      <c r="L462">
        <v>1325.06</v>
      </c>
      <c r="M462" s="1" t="s">
        <v>55</v>
      </c>
    </row>
    <row r="463" spans="1:13" x14ac:dyDescent="0.3">
      <c r="A463" s="1" t="s">
        <v>1067</v>
      </c>
      <c r="B463" s="2">
        <v>45904</v>
      </c>
      <c r="C463" s="1" t="s">
        <v>518</v>
      </c>
      <c r="D463" s="1" t="s">
        <v>519</v>
      </c>
      <c r="E463" s="1" t="s">
        <v>74</v>
      </c>
      <c r="F463" s="1" t="s">
        <v>69</v>
      </c>
      <c r="G463" s="1" t="s">
        <v>44</v>
      </c>
      <c r="H463" s="1" t="s">
        <v>75</v>
      </c>
      <c r="I463">
        <v>2</v>
      </c>
      <c r="J463">
        <v>23327.279999999999</v>
      </c>
      <c r="K463">
        <v>0.05</v>
      </c>
      <c r="L463">
        <v>3168.91</v>
      </c>
      <c r="M463" s="1" t="s">
        <v>28</v>
      </c>
    </row>
    <row r="464" spans="1:13" x14ac:dyDescent="0.3">
      <c r="A464" s="1" t="s">
        <v>1068</v>
      </c>
      <c r="B464" s="2">
        <v>45733</v>
      </c>
      <c r="C464" s="1" t="s">
        <v>476</v>
      </c>
      <c r="D464" s="1" t="s">
        <v>477</v>
      </c>
      <c r="E464" s="1" t="s">
        <v>37</v>
      </c>
      <c r="F464" s="1" t="s">
        <v>25</v>
      </c>
      <c r="G464" s="1" t="s">
        <v>18</v>
      </c>
      <c r="H464" s="1" t="s">
        <v>97</v>
      </c>
      <c r="I464">
        <v>8</v>
      </c>
      <c r="J464">
        <v>13055.7</v>
      </c>
      <c r="K464">
        <v>0.2</v>
      </c>
      <c r="L464">
        <v>3200.92</v>
      </c>
      <c r="M464" s="1" t="s">
        <v>50</v>
      </c>
    </row>
    <row r="465" spans="1:13" x14ac:dyDescent="0.3">
      <c r="A465" s="1" t="s">
        <v>1069</v>
      </c>
      <c r="B465" s="2">
        <v>45811</v>
      </c>
      <c r="C465" s="1" t="s">
        <v>139</v>
      </c>
      <c r="D465" s="1" t="s">
        <v>140</v>
      </c>
      <c r="E465" s="1" t="s">
        <v>43</v>
      </c>
      <c r="F465" s="1" t="s">
        <v>25</v>
      </c>
      <c r="G465" s="1" t="s">
        <v>44</v>
      </c>
      <c r="H465" s="1" t="s">
        <v>75</v>
      </c>
      <c r="I465">
        <v>1</v>
      </c>
      <c r="J465">
        <v>10026.89</v>
      </c>
      <c r="K465">
        <v>0.15</v>
      </c>
      <c r="L465">
        <v>1342</v>
      </c>
      <c r="M465" s="1" t="s">
        <v>55</v>
      </c>
    </row>
    <row r="466" spans="1:13" x14ac:dyDescent="0.3">
      <c r="A466" s="1" t="s">
        <v>1070</v>
      </c>
      <c r="B466" s="2">
        <v>45801</v>
      </c>
      <c r="C466" s="1" t="s">
        <v>713</v>
      </c>
      <c r="D466" s="1" t="s">
        <v>714</v>
      </c>
      <c r="E466" s="1" t="s">
        <v>24</v>
      </c>
      <c r="F466" s="1" t="s">
        <v>25</v>
      </c>
      <c r="G466" s="1" t="s">
        <v>26</v>
      </c>
      <c r="H466" s="1" t="s">
        <v>231</v>
      </c>
      <c r="I466">
        <v>10</v>
      </c>
      <c r="J466">
        <v>30792.31</v>
      </c>
      <c r="K466">
        <v>0.15</v>
      </c>
      <c r="L466">
        <v>8820.0400000000009</v>
      </c>
      <c r="M466" s="1" t="s">
        <v>55</v>
      </c>
    </row>
    <row r="467" spans="1:13" x14ac:dyDescent="0.3">
      <c r="A467" s="1" t="s">
        <v>1071</v>
      </c>
      <c r="B467" s="2">
        <v>45743</v>
      </c>
      <c r="C467" s="1" t="s">
        <v>1072</v>
      </c>
      <c r="D467" s="1" t="s">
        <v>1073</v>
      </c>
      <c r="E467" s="1" t="s">
        <v>43</v>
      </c>
      <c r="F467" s="1" t="s">
        <v>69</v>
      </c>
      <c r="G467" s="1" t="s">
        <v>18</v>
      </c>
      <c r="H467" s="1" t="s">
        <v>122</v>
      </c>
      <c r="I467">
        <v>9</v>
      </c>
      <c r="J467">
        <v>22552.48</v>
      </c>
      <c r="K467">
        <v>0.1</v>
      </c>
      <c r="L467">
        <v>5437.74</v>
      </c>
      <c r="M467" s="1" t="s">
        <v>28</v>
      </c>
    </row>
    <row r="468" spans="1:13" x14ac:dyDescent="0.3">
      <c r="A468" s="1" t="s">
        <v>1074</v>
      </c>
      <c r="B468" s="2">
        <v>45842</v>
      </c>
      <c r="C468" s="1" t="s">
        <v>648</v>
      </c>
      <c r="D468" s="1" t="s">
        <v>649</v>
      </c>
      <c r="E468" s="1" t="s">
        <v>74</v>
      </c>
      <c r="F468" s="1" t="s">
        <v>69</v>
      </c>
      <c r="G468" s="1" t="s">
        <v>44</v>
      </c>
      <c r="H468" s="1" t="s">
        <v>75</v>
      </c>
      <c r="I468">
        <v>4</v>
      </c>
      <c r="J468">
        <v>17231.39</v>
      </c>
      <c r="K468">
        <v>0.25</v>
      </c>
      <c r="L468">
        <v>3123.39</v>
      </c>
      <c r="M468" s="1" t="s">
        <v>28</v>
      </c>
    </row>
    <row r="469" spans="1:13" x14ac:dyDescent="0.3">
      <c r="A469" s="1" t="s">
        <v>1075</v>
      </c>
      <c r="B469" s="2">
        <v>45942</v>
      </c>
      <c r="C469" s="1" t="s">
        <v>904</v>
      </c>
      <c r="D469" s="1" t="s">
        <v>905</v>
      </c>
      <c r="E469" s="1" t="s">
        <v>16</v>
      </c>
      <c r="F469" s="1" t="s">
        <v>25</v>
      </c>
      <c r="G469" s="1" t="s">
        <v>18</v>
      </c>
      <c r="H469" s="1" t="s">
        <v>145</v>
      </c>
      <c r="I469">
        <v>4</v>
      </c>
      <c r="J469">
        <v>6833.06</v>
      </c>
      <c r="K469">
        <v>0.25</v>
      </c>
      <c r="L469">
        <v>1709.23</v>
      </c>
      <c r="M469" s="1" t="s">
        <v>28</v>
      </c>
    </row>
    <row r="470" spans="1:13" x14ac:dyDescent="0.3">
      <c r="A470" s="1" t="s">
        <v>1076</v>
      </c>
      <c r="B470" s="2">
        <v>45877</v>
      </c>
      <c r="C470" s="1" t="s">
        <v>1077</v>
      </c>
      <c r="D470" s="1" t="s">
        <v>1078</v>
      </c>
      <c r="E470" s="1" t="s">
        <v>43</v>
      </c>
      <c r="F470" s="1" t="s">
        <v>69</v>
      </c>
      <c r="G470" s="1" t="s">
        <v>32</v>
      </c>
      <c r="H470" s="1" t="s">
        <v>54</v>
      </c>
      <c r="I470">
        <v>10</v>
      </c>
      <c r="J470">
        <v>123092.29</v>
      </c>
      <c r="K470">
        <v>0</v>
      </c>
      <c r="L470">
        <v>26467.75</v>
      </c>
      <c r="M470" s="1" t="s">
        <v>28</v>
      </c>
    </row>
    <row r="471" spans="1:13" x14ac:dyDescent="0.3">
      <c r="A471" s="1" t="s">
        <v>1079</v>
      </c>
      <c r="B471" s="2">
        <v>45726</v>
      </c>
      <c r="C471" s="1" t="s">
        <v>460</v>
      </c>
      <c r="D471" s="1" t="s">
        <v>461</v>
      </c>
      <c r="E471" s="1" t="s">
        <v>24</v>
      </c>
      <c r="F471" s="1" t="s">
        <v>25</v>
      </c>
      <c r="G471" s="1" t="s">
        <v>18</v>
      </c>
      <c r="H471" s="1" t="s">
        <v>19</v>
      </c>
      <c r="I471">
        <v>7</v>
      </c>
      <c r="J471">
        <v>12701.1</v>
      </c>
      <c r="K471">
        <v>0.15</v>
      </c>
      <c r="L471">
        <v>3021.86</v>
      </c>
      <c r="M471" s="1" t="s">
        <v>28</v>
      </c>
    </row>
    <row r="472" spans="1:13" x14ac:dyDescent="0.3">
      <c r="A472" s="1" t="s">
        <v>1080</v>
      </c>
      <c r="B472" s="2">
        <v>45704</v>
      </c>
      <c r="C472" s="1" t="s">
        <v>1044</v>
      </c>
      <c r="D472" s="1" t="s">
        <v>1045</v>
      </c>
      <c r="E472" s="1" t="s">
        <v>37</v>
      </c>
      <c r="F472" s="1" t="s">
        <v>25</v>
      </c>
      <c r="G472" s="1" t="s">
        <v>32</v>
      </c>
      <c r="H472" s="1" t="s">
        <v>38</v>
      </c>
      <c r="I472">
        <v>4</v>
      </c>
      <c r="J472">
        <v>62268.37</v>
      </c>
      <c r="K472">
        <v>0</v>
      </c>
      <c r="L472">
        <v>14380.92</v>
      </c>
      <c r="M472" s="1" t="s">
        <v>50</v>
      </c>
    </row>
    <row r="473" spans="1:13" x14ac:dyDescent="0.3">
      <c r="A473" s="1" t="s">
        <v>1081</v>
      </c>
      <c r="B473" s="2">
        <v>45751</v>
      </c>
      <c r="C473" s="1" t="s">
        <v>1082</v>
      </c>
      <c r="D473" s="1" t="s">
        <v>1083</v>
      </c>
      <c r="E473" s="1" t="s">
        <v>24</v>
      </c>
      <c r="F473" s="1" t="s">
        <v>25</v>
      </c>
      <c r="G473" s="1" t="s">
        <v>44</v>
      </c>
      <c r="H473" s="1" t="s">
        <v>75</v>
      </c>
      <c r="I473">
        <v>1</v>
      </c>
      <c r="J473">
        <v>11415.87</v>
      </c>
      <c r="K473">
        <v>0.1</v>
      </c>
      <c r="L473">
        <v>2563.29</v>
      </c>
      <c r="M473" s="1" t="s">
        <v>28</v>
      </c>
    </row>
    <row r="474" spans="1:13" x14ac:dyDescent="0.3">
      <c r="A474" s="1" t="s">
        <v>1084</v>
      </c>
      <c r="B474" s="2">
        <v>45895</v>
      </c>
      <c r="C474" s="1" t="s">
        <v>725</v>
      </c>
      <c r="D474" s="1" t="s">
        <v>726</v>
      </c>
      <c r="E474" s="1" t="s">
        <v>74</v>
      </c>
      <c r="F474" s="1" t="s">
        <v>17</v>
      </c>
      <c r="G474" s="1" t="s">
        <v>26</v>
      </c>
      <c r="H474" s="1" t="s">
        <v>86</v>
      </c>
      <c r="I474">
        <v>8</v>
      </c>
      <c r="J474">
        <v>23552.61</v>
      </c>
      <c r="K474">
        <v>0.1</v>
      </c>
      <c r="L474">
        <v>6953.07</v>
      </c>
      <c r="M474" s="1" t="s">
        <v>20</v>
      </c>
    </row>
    <row r="475" spans="1:13" x14ac:dyDescent="0.3">
      <c r="A475" s="1" t="s">
        <v>1085</v>
      </c>
      <c r="B475" s="2">
        <v>45861</v>
      </c>
      <c r="C475" s="1" t="s">
        <v>261</v>
      </c>
      <c r="D475" s="1" t="s">
        <v>262</v>
      </c>
      <c r="E475" s="1" t="s">
        <v>37</v>
      </c>
      <c r="F475" s="1" t="s">
        <v>69</v>
      </c>
      <c r="G475" s="1" t="s">
        <v>44</v>
      </c>
      <c r="H475" s="1" t="s">
        <v>45</v>
      </c>
      <c r="I475">
        <v>9</v>
      </c>
      <c r="J475">
        <v>72497.08</v>
      </c>
      <c r="K475">
        <v>0.15</v>
      </c>
      <c r="L475">
        <v>12018.24</v>
      </c>
      <c r="M475" s="1" t="s">
        <v>28</v>
      </c>
    </row>
    <row r="476" spans="1:13" x14ac:dyDescent="0.3">
      <c r="A476" s="1" t="s">
        <v>1086</v>
      </c>
      <c r="B476" s="2">
        <v>45875</v>
      </c>
      <c r="C476" s="1" t="s">
        <v>761</v>
      </c>
      <c r="D476" s="1" t="s">
        <v>762</v>
      </c>
      <c r="E476" s="1" t="s">
        <v>37</v>
      </c>
      <c r="F476" s="1" t="s">
        <v>17</v>
      </c>
      <c r="G476" s="1" t="s">
        <v>32</v>
      </c>
      <c r="H476" s="1" t="s">
        <v>38</v>
      </c>
      <c r="I476">
        <v>5</v>
      </c>
      <c r="J476">
        <v>62767.82</v>
      </c>
      <c r="K476">
        <v>0.2</v>
      </c>
      <c r="L476">
        <v>10709.34</v>
      </c>
      <c r="M476" s="1" t="s">
        <v>20</v>
      </c>
    </row>
    <row r="477" spans="1:13" x14ac:dyDescent="0.3">
      <c r="A477" s="1" t="s">
        <v>1087</v>
      </c>
      <c r="B477" s="2">
        <v>45998</v>
      </c>
      <c r="C477" s="1" t="s">
        <v>382</v>
      </c>
      <c r="D477" s="1" t="s">
        <v>383</v>
      </c>
      <c r="E477" s="1" t="s">
        <v>24</v>
      </c>
      <c r="F477" s="1" t="s">
        <v>17</v>
      </c>
      <c r="G477" s="1" t="s">
        <v>26</v>
      </c>
      <c r="H477" s="1" t="s">
        <v>27</v>
      </c>
      <c r="I477">
        <v>1</v>
      </c>
      <c r="J477">
        <v>1653.24</v>
      </c>
      <c r="K477">
        <v>0.1</v>
      </c>
      <c r="L477">
        <v>444.45</v>
      </c>
      <c r="M477" s="1" t="s">
        <v>50</v>
      </c>
    </row>
    <row r="478" spans="1:13" x14ac:dyDescent="0.3">
      <c r="A478" s="1" t="s">
        <v>1088</v>
      </c>
      <c r="B478" s="2">
        <v>45696</v>
      </c>
      <c r="C478" s="1" t="s">
        <v>1089</v>
      </c>
      <c r="D478" s="1" t="s">
        <v>1090</v>
      </c>
      <c r="E478" s="1" t="s">
        <v>24</v>
      </c>
      <c r="F478" s="1" t="s">
        <v>17</v>
      </c>
      <c r="G478" s="1" t="s">
        <v>32</v>
      </c>
      <c r="H478" s="1" t="s">
        <v>79</v>
      </c>
      <c r="I478">
        <v>7</v>
      </c>
      <c r="J478">
        <v>88970.57</v>
      </c>
      <c r="K478">
        <v>0.05</v>
      </c>
      <c r="L478">
        <v>23821.48</v>
      </c>
      <c r="M478" s="1" t="s">
        <v>20</v>
      </c>
    </row>
    <row r="479" spans="1:13" x14ac:dyDescent="0.3">
      <c r="A479" s="1" t="s">
        <v>1091</v>
      </c>
      <c r="B479" s="2">
        <v>45757</v>
      </c>
      <c r="C479" s="1" t="s">
        <v>416</v>
      </c>
      <c r="D479" s="1" t="s">
        <v>417</v>
      </c>
      <c r="E479" s="1" t="s">
        <v>74</v>
      </c>
      <c r="F479" s="1" t="s">
        <v>25</v>
      </c>
      <c r="G479" s="1" t="s">
        <v>18</v>
      </c>
      <c r="H479" s="1" t="s">
        <v>145</v>
      </c>
      <c r="I479">
        <v>2</v>
      </c>
      <c r="J479">
        <v>1960.11</v>
      </c>
      <c r="K479">
        <v>0.15</v>
      </c>
      <c r="L479">
        <v>476.96</v>
      </c>
      <c r="M479" s="1" t="s">
        <v>20</v>
      </c>
    </row>
    <row r="480" spans="1:13" x14ac:dyDescent="0.3">
      <c r="A480" s="1" t="s">
        <v>1092</v>
      </c>
      <c r="B480" s="2">
        <v>45946</v>
      </c>
      <c r="C480" s="1" t="s">
        <v>352</v>
      </c>
      <c r="D480" s="1" t="s">
        <v>353</v>
      </c>
      <c r="E480" s="1" t="s">
        <v>16</v>
      </c>
      <c r="F480" s="1" t="s">
        <v>25</v>
      </c>
      <c r="G480" s="1" t="s">
        <v>26</v>
      </c>
      <c r="H480" s="1" t="s">
        <v>49</v>
      </c>
      <c r="I480">
        <v>9</v>
      </c>
      <c r="J480">
        <v>34519.730000000003</v>
      </c>
      <c r="K480">
        <v>0.1</v>
      </c>
      <c r="L480">
        <v>9644.86</v>
      </c>
      <c r="M480" s="1" t="s">
        <v>50</v>
      </c>
    </row>
    <row r="481" spans="1:13" x14ac:dyDescent="0.3">
      <c r="A481" s="1" t="s">
        <v>1093</v>
      </c>
      <c r="B481" s="2">
        <v>45911</v>
      </c>
      <c r="C481" s="1" t="s">
        <v>120</v>
      </c>
      <c r="D481" s="1" t="s">
        <v>121</v>
      </c>
      <c r="E481" s="1" t="s">
        <v>24</v>
      </c>
      <c r="F481" s="1" t="s">
        <v>25</v>
      </c>
      <c r="G481" s="1" t="s">
        <v>18</v>
      </c>
      <c r="H481" s="1" t="s">
        <v>122</v>
      </c>
      <c r="I481">
        <v>1</v>
      </c>
      <c r="J481">
        <v>1344.05</v>
      </c>
      <c r="K481">
        <v>0.05</v>
      </c>
      <c r="L481">
        <v>334.05</v>
      </c>
      <c r="M481" s="1" t="s">
        <v>28</v>
      </c>
    </row>
    <row r="482" spans="1:13" x14ac:dyDescent="0.3">
      <c r="A482" s="1" t="s">
        <v>1094</v>
      </c>
      <c r="B482" s="2">
        <v>45879</v>
      </c>
      <c r="C482" s="1" t="s">
        <v>184</v>
      </c>
      <c r="D482" s="1" t="s">
        <v>185</v>
      </c>
      <c r="E482" s="1" t="s">
        <v>24</v>
      </c>
      <c r="F482" s="1" t="s">
        <v>17</v>
      </c>
      <c r="G482" s="1" t="s">
        <v>18</v>
      </c>
      <c r="H482" s="1" t="s">
        <v>19</v>
      </c>
      <c r="I482">
        <v>2</v>
      </c>
      <c r="J482">
        <v>4339.0200000000004</v>
      </c>
      <c r="K482">
        <v>0.15</v>
      </c>
      <c r="L482">
        <v>1309.52</v>
      </c>
      <c r="M482" s="1" t="s">
        <v>55</v>
      </c>
    </row>
    <row r="483" spans="1:13" x14ac:dyDescent="0.3">
      <c r="A483" s="1" t="s">
        <v>1095</v>
      </c>
      <c r="B483" s="2">
        <v>46014</v>
      </c>
      <c r="C483" s="1" t="s">
        <v>1096</v>
      </c>
      <c r="D483" s="1" t="s">
        <v>1097</v>
      </c>
      <c r="E483" s="1" t="s">
        <v>37</v>
      </c>
      <c r="F483" s="1" t="s">
        <v>17</v>
      </c>
      <c r="G483" s="1" t="s">
        <v>32</v>
      </c>
      <c r="H483" s="1" t="s">
        <v>54</v>
      </c>
      <c r="I483">
        <v>3</v>
      </c>
      <c r="J483">
        <v>41593.279999999999</v>
      </c>
      <c r="K483">
        <v>0.1</v>
      </c>
      <c r="L483">
        <v>9941.31</v>
      </c>
      <c r="M483" s="1" t="s">
        <v>20</v>
      </c>
    </row>
    <row r="484" spans="1:13" x14ac:dyDescent="0.3">
      <c r="A484" s="1" t="s">
        <v>1098</v>
      </c>
      <c r="B484" s="2">
        <v>45680</v>
      </c>
      <c r="C484" s="1" t="s">
        <v>1099</v>
      </c>
      <c r="D484" s="1" t="s">
        <v>1100</v>
      </c>
      <c r="E484" s="1" t="s">
        <v>16</v>
      </c>
      <c r="F484" s="1" t="s">
        <v>25</v>
      </c>
      <c r="G484" s="1" t="s">
        <v>18</v>
      </c>
      <c r="H484" s="1" t="s">
        <v>122</v>
      </c>
      <c r="I484">
        <v>6</v>
      </c>
      <c r="J484">
        <v>5671.4</v>
      </c>
      <c r="K484">
        <v>0.2</v>
      </c>
      <c r="L484">
        <v>1383.24</v>
      </c>
      <c r="M484" s="1" t="s">
        <v>50</v>
      </c>
    </row>
    <row r="485" spans="1:13" x14ac:dyDescent="0.3">
      <c r="A485" s="1" t="s">
        <v>1101</v>
      </c>
      <c r="B485" s="2">
        <v>45907</v>
      </c>
      <c r="C485" s="1" t="s">
        <v>163</v>
      </c>
      <c r="D485" s="1" t="s">
        <v>164</v>
      </c>
      <c r="E485" s="1" t="s">
        <v>43</v>
      </c>
      <c r="F485" s="1" t="s">
        <v>69</v>
      </c>
      <c r="G485" s="1" t="s">
        <v>32</v>
      </c>
      <c r="H485" s="1" t="s">
        <v>79</v>
      </c>
      <c r="I485">
        <v>6</v>
      </c>
      <c r="J485">
        <v>99327.55</v>
      </c>
      <c r="K485">
        <v>0.1</v>
      </c>
      <c r="L485">
        <v>24626.93</v>
      </c>
      <c r="M485" s="1" t="s">
        <v>55</v>
      </c>
    </row>
    <row r="486" spans="1:13" x14ac:dyDescent="0.3">
      <c r="A486" s="1" t="s">
        <v>1102</v>
      </c>
      <c r="B486" s="2">
        <v>45667</v>
      </c>
      <c r="C486" s="1" t="s">
        <v>416</v>
      </c>
      <c r="D486" s="1" t="s">
        <v>417</v>
      </c>
      <c r="E486" s="1" t="s">
        <v>24</v>
      </c>
      <c r="F486" s="1" t="s">
        <v>25</v>
      </c>
      <c r="G486" s="1" t="s">
        <v>44</v>
      </c>
      <c r="H486" s="1" t="s">
        <v>90</v>
      </c>
      <c r="I486">
        <v>3</v>
      </c>
      <c r="J486">
        <v>32983.75</v>
      </c>
      <c r="K486">
        <v>0</v>
      </c>
      <c r="L486">
        <v>6520.47</v>
      </c>
      <c r="M486" s="1" t="s">
        <v>28</v>
      </c>
    </row>
    <row r="487" spans="1:13" x14ac:dyDescent="0.3">
      <c r="A487" s="1" t="s">
        <v>1103</v>
      </c>
      <c r="B487" s="2">
        <v>45903</v>
      </c>
      <c r="C487" s="1" t="s">
        <v>1104</v>
      </c>
      <c r="D487" s="1" t="s">
        <v>1105</v>
      </c>
      <c r="E487" s="1" t="s">
        <v>16</v>
      </c>
      <c r="F487" s="1" t="s">
        <v>25</v>
      </c>
      <c r="G487" s="1" t="s">
        <v>44</v>
      </c>
      <c r="H487" s="1" t="s">
        <v>155</v>
      </c>
      <c r="I487">
        <v>6</v>
      </c>
      <c r="J487">
        <v>71502.600000000006</v>
      </c>
      <c r="K487">
        <v>0.1</v>
      </c>
      <c r="L487">
        <v>10851.15</v>
      </c>
      <c r="M487" s="1" t="s">
        <v>28</v>
      </c>
    </row>
    <row r="488" spans="1:13" x14ac:dyDescent="0.3">
      <c r="A488" s="1" t="s">
        <v>1106</v>
      </c>
      <c r="B488" s="2">
        <v>45982</v>
      </c>
      <c r="C488" s="1" t="s">
        <v>567</v>
      </c>
      <c r="D488" s="1" t="s">
        <v>568</v>
      </c>
      <c r="E488" s="1" t="s">
        <v>24</v>
      </c>
      <c r="F488" s="1" t="s">
        <v>25</v>
      </c>
      <c r="G488" s="1" t="s">
        <v>26</v>
      </c>
      <c r="H488" s="1" t="s">
        <v>231</v>
      </c>
      <c r="I488">
        <v>7</v>
      </c>
      <c r="J488">
        <v>14407.41</v>
      </c>
      <c r="K488">
        <v>0.2</v>
      </c>
      <c r="L488">
        <v>3010.52</v>
      </c>
      <c r="M488" s="1" t="s">
        <v>50</v>
      </c>
    </row>
    <row r="489" spans="1:13" x14ac:dyDescent="0.3">
      <c r="A489" s="1" t="s">
        <v>1107</v>
      </c>
      <c r="B489" s="2">
        <v>45757</v>
      </c>
      <c r="C489" s="1" t="s">
        <v>389</v>
      </c>
      <c r="D489" s="1" t="s">
        <v>390</v>
      </c>
      <c r="E489" s="1" t="s">
        <v>24</v>
      </c>
      <c r="F489" s="1" t="s">
        <v>69</v>
      </c>
      <c r="G489" s="1" t="s">
        <v>32</v>
      </c>
      <c r="H489" s="1" t="s">
        <v>54</v>
      </c>
      <c r="I489">
        <v>3</v>
      </c>
      <c r="J489">
        <v>23161.13</v>
      </c>
      <c r="K489">
        <v>0.2</v>
      </c>
      <c r="L489">
        <v>5956.08</v>
      </c>
      <c r="M489" s="1" t="s">
        <v>55</v>
      </c>
    </row>
    <row r="490" spans="1:13" x14ac:dyDescent="0.3">
      <c r="A490" s="1" t="s">
        <v>1108</v>
      </c>
      <c r="B490" s="2">
        <v>45947</v>
      </c>
      <c r="C490" s="1" t="s">
        <v>438</v>
      </c>
      <c r="D490" s="1" t="s">
        <v>439</v>
      </c>
      <c r="E490" s="1" t="s">
        <v>37</v>
      </c>
      <c r="F490" s="1" t="s">
        <v>69</v>
      </c>
      <c r="G490" s="1" t="s">
        <v>18</v>
      </c>
      <c r="H490" s="1" t="s">
        <v>145</v>
      </c>
      <c r="I490">
        <v>8</v>
      </c>
      <c r="J490">
        <v>12924.53</v>
      </c>
      <c r="K490">
        <v>0.15</v>
      </c>
      <c r="L490">
        <v>4081.98</v>
      </c>
      <c r="M490" s="1" t="s">
        <v>20</v>
      </c>
    </row>
    <row r="491" spans="1:13" x14ac:dyDescent="0.3">
      <c r="A491" s="1" t="s">
        <v>1109</v>
      </c>
      <c r="B491" s="2">
        <v>45837</v>
      </c>
      <c r="C491" s="1" t="s">
        <v>1110</v>
      </c>
      <c r="D491" s="1" t="s">
        <v>1111</v>
      </c>
      <c r="E491" s="1" t="s">
        <v>24</v>
      </c>
      <c r="F491" s="1" t="s">
        <v>25</v>
      </c>
      <c r="G491" s="1" t="s">
        <v>18</v>
      </c>
      <c r="H491" s="1" t="s">
        <v>141</v>
      </c>
      <c r="I491">
        <v>9</v>
      </c>
      <c r="J491">
        <v>21246.33</v>
      </c>
      <c r="K491">
        <v>0.15</v>
      </c>
      <c r="L491">
        <v>5366.48</v>
      </c>
      <c r="M491" s="1" t="s">
        <v>28</v>
      </c>
    </row>
    <row r="492" spans="1:13" x14ac:dyDescent="0.3">
      <c r="A492" s="1" t="s">
        <v>1112</v>
      </c>
      <c r="B492" s="2">
        <v>45880</v>
      </c>
      <c r="C492" s="1" t="s">
        <v>1113</v>
      </c>
      <c r="D492" s="1" t="s">
        <v>1114</v>
      </c>
      <c r="E492" s="1" t="s">
        <v>43</v>
      </c>
      <c r="F492" s="1" t="s">
        <v>25</v>
      </c>
      <c r="G492" s="1" t="s">
        <v>26</v>
      </c>
      <c r="H492" s="1" t="s">
        <v>231</v>
      </c>
      <c r="I492">
        <v>8</v>
      </c>
      <c r="J492">
        <v>29895.55</v>
      </c>
      <c r="K492">
        <v>0.2</v>
      </c>
      <c r="L492">
        <v>6136.28</v>
      </c>
      <c r="M492" s="1" t="s">
        <v>28</v>
      </c>
    </row>
    <row r="493" spans="1:13" x14ac:dyDescent="0.3">
      <c r="A493" s="1" t="s">
        <v>1115</v>
      </c>
      <c r="B493" s="2">
        <v>45907</v>
      </c>
      <c r="C493" s="1" t="s">
        <v>1116</v>
      </c>
      <c r="D493" s="1" t="s">
        <v>1117</v>
      </c>
      <c r="E493" s="1" t="s">
        <v>24</v>
      </c>
      <c r="F493" s="1" t="s">
        <v>25</v>
      </c>
      <c r="G493" s="1" t="s">
        <v>18</v>
      </c>
      <c r="H493" s="1" t="s">
        <v>145</v>
      </c>
      <c r="I493">
        <v>8</v>
      </c>
      <c r="J493">
        <v>12010.02</v>
      </c>
      <c r="K493">
        <v>0.15</v>
      </c>
      <c r="L493">
        <v>2764.8</v>
      </c>
      <c r="M493" s="1" t="s">
        <v>28</v>
      </c>
    </row>
    <row r="494" spans="1:13" x14ac:dyDescent="0.3">
      <c r="A494" s="1" t="s">
        <v>1118</v>
      </c>
      <c r="B494" s="2">
        <v>45804</v>
      </c>
      <c r="C494" s="1" t="s">
        <v>1119</v>
      </c>
      <c r="D494" s="1" t="s">
        <v>1120</v>
      </c>
      <c r="E494" s="1" t="s">
        <v>16</v>
      </c>
      <c r="F494" s="1" t="s">
        <v>25</v>
      </c>
      <c r="G494" s="1" t="s">
        <v>18</v>
      </c>
      <c r="H494" s="1" t="s">
        <v>145</v>
      </c>
      <c r="I494">
        <v>2</v>
      </c>
      <c r="J494">
        <v>3580.66</v>
      </c>
      <c r="K494">
        <v>0</v>
      </c>
      <c r="L494">
        <v>984.42</v>
      </c>
      <c r="M494" s="1" t="s">
        <v>28</v>
      </c>
    </row>
    <row r="495" spans="1:13" x14ac:dyDescent="0.3">
      <c r="A495" s="1" t="s">
        <v>1121</v>
      </c>
      <c r="B495" s="2">
        <v>45753</v>
      </c>
      <c r="C495" s="1" t="s">
        <v>309</v>
      </c>
      <c r="D495" s="1" t="s">
        <v>310</v>
      </c>
      <c r="E495" s="1" t="s">
        <v>24</v>
      </c>
      <c r="F495" s="1" t="s">
        <v>25</v>
      </c>
      <c r="G495" s="1" t="s">
        <v>26</v>
      </c>
      <c r="H495" s="1" t="s">
        <v>86</v>
      </c>
      <c r="I495">
        <v>7</v>
      </c>
      <c r="J495">
        <v>17094.77</v>
      </c>
      <c r="K495">
        <v>0.1</v>
      </c>
      <c r="L495">
        <v>3698.55</v>
      </c>
      <c r="M495" s="1" t="s">
        <v>55</v>
      </c>
    </row>
    <row r="496" spans="1:13" x14ac:dyDescent="0.3">
      <c r="A496" s="1" t="s">
        <v>1122</v>
      </c>
      <c r="B496" s="2">
        <v>45914</v>
      </c>
      <c r="C496" s="1" t="s">
        <v>823</v>
      </c>
      <c r="D496" s="1" t="s">
        <v>824</v>
      </c>
      <c r="E496" s="1" t="s">
        <v>16</v>
      </c>
      <c r="F496" s="1" t="s">
        <v>69</v>
      </c>
      <c r="G496" s="1" t="s">
        <v>44</v>
      </c>
      <c r="H496" s="1" t="s">
        <v>155</v>
      </c>
      <c r="I496">
        <v>1</v>
      </c>
      <c r="J496">
        <v>11178.42</v>
      </c>
      <c r="K496">
        <v>0.15</v>
      </c>
      <c r="L496">
        <v>2175.7800000000002</v>
      </c>
      <c r="M496" s="1" t="s">
        <v>55</v>
      </c>
    </row>
    <row r="497" spans="1:13" x14ac:dyDescent="0.3">
      <c r="A497" s="1" t="s">
        <v>1123</v>
      </c>
      <c r="B497" s="2">
        <v>45982</v>
      </c>
      <c r="C497" s="1" t="s">
        <v>124</v>
      </c>
      <c r="D497" s="1" t="s">
        <v>125</v>
      </c>
      <c r="E497" s="1" t="s">
        <v>74</v>
      </c>
      <c r="F497" s="1" t="s">
        <v>25</v>
      </c>
      <c r="G497" s="1" t="s">
        <v>18</v>
      </c>
      <c r="H497" s="1" t="s">
        <v>97</v>
      </c>
      <c r="I497">
        <v>3</v>
      </c>
      <c r="J497">
        <v>4095.3</v>
      </c>
      <c r="K497">
        <v>0.1</v>
      </c>
      <c r="L497">
        <v>996.56</v>
      </c>
      <c r="M497" s="1" t="s">
        <v>50</v>
      </c>
    </row>
    <row r="498" spans="1:13" x14ac:dyDescent="0.3">
      <c r="A498" s="1" t="s">
        <v>1124</v>
      </c>
      <c r="B498" s="2">
        <v>45661</v>
      </c>
      <c r="C498" s="1" t="s">
        <v>859</v>
      </c>
      <c r="D498" s="1" t="s">
        <v>860</v>
      </c>
      <c r="E498" s="1" t="s">
        <v>37</v>
      </c>
      <c r="F498" s="1" t="s">
        <v>25</v>
      </c>
      <c r="G498" s="1" t="s">
        <v>44</v>
      </c>
      <c r="H498" s="1" t="s">
        <v>90</v>
      </c>
      <c r="I498">
        <v>2</v>
      </c>
      <c r="J498">
        <v>24403.88</v>
      </c>
      <c r="K498">
        <v>0.1</v>
      </c>
      <c r="L498">
        <v>4312.8</v>
      </c>
      <c r="M498" s="1" t="s">
        <v>28</v>
      </c>
    </row>
    <row r="499" spans="1:13" x14ac:dyDescent="0.3">
      <c r="A499" s="1" t="s">
        <v>1125</v>
      </c>
      <c r="B499" s="2">
        <v>45673</v>
      </c>
      <c r="C499" s="1" t="s">
        <v>246</v>
      </c>
      <c r="D499" s="1" t="s">
        <v>247</v>
      </c>
      <c r="E499" s="1" t="s">
        <v>74</v>
      </c>
      <c r="F499" s="1" t="s">
        <v>69</v>
      </c>
      <c r="G499" s="1" t="s">
        <v>44</v>
      </c>
      <c r="H499" s="1" t="s">
        <v>45</v>
      </c>
      <c r="I499">
        <v>10</v>
      </c>
      <c r="J499">
        <v>105729.56</v>
      </c>
      <c r="K499">
        <v>0.05</v>
      </c>
      <c r="L499">
        <v>18448.11</v>
      </c>
      <c r="M499" s="1" t="s">
        <v>20</v>
      </c>
    </row>
    <row r="500" spans="1:13" x14ac:dyDescent="0.3">
      <c r="A500" s="1" t="s">
        <v>1126</v>
      </c>
      <c r="B500" s="2">
        <v>45937</v>
      </c>
      <c r="C500" s="1" t="s">
        <v>309</v>
      </c>
      <c r="D500" s="1" t="s">
        <v>310</v>
      </c>
      <c r="E500" s="1" t="s">
        <v>43</v>
      </c>
      <c r="F500" s="1" t="s">
        <v>17</v>
      </c>
      <c r="G500" s="1" t="s">
        <v>32</v>
      </c>
      <c r="H500" s="1" t="s">
        <v>59</v>
      </c>
      <c r="I500">
        <v>3</v>
      </c>
      <c r="J500">
        <v>51308.22</v>
      </c>
      <c r="K500">
        <v>0.05</v>
      </c>
      <c r="L500">
        <v>12001.55</v>
      </c>
      <c r="M500" s="1" t="s">
        <v>55</v>
      </c>
    </row>
    <row r="501" spans="1:13" x14ac:dyDescent="0.3">
      <c r="A501" s="1" t="s">
        <v>1127</v>
      </c>
      <c r="B501" s="2">
        <v>45993</v>
      </c>
      <c r="C501" s="1" t="s">
        <v>114</v>
      </c>
      <c r="D501" s="1" t="s">
        <v>115</v>
      </c>
      <c r="E501" s="1" t="s">
        <v>37</v>
      </c>
      <c r="F501" s="1" t="s">
        <v>69</v>
      </c>
      <c r="G501" s="1" t="s">
        <v>26</v>
      </c>
      <c r="H501" s="1" t="s">
        <v>231</v>
      </c>
      <c r="I501">
        <v>1</v>
      </c>
      <c r="J501">
        <v>4954.24</v>
      </c>
      <c r="K501">
        <v>0</v>
      </c>
      <c r="L501">
        <v>1101.33</v>
      </c>
      <c r="M501" s="1" t="s">
        <v>55</v>
      </c>
    </row>
    <row r="502" spans="1:13" x14ac:dyDescent="0.3">
      <c r="A502" s="1" t="s">
        <v>1128</v>
      </c>
      <c r="B502" s="2">
        <v>45904</v>
      </c>
      <c r="C502" s="1" t="s">
        <v>1129</v>
      </c>
      <c r="D502" s="1" t="s">
        <v>1130</v>
      </c>
      <c r="E502" s="1" t="s">
        <v>43</v>
      </c>
      <c r="F502" s="1" t="s">
        <v>25</v>
      </c>
      <c r="G502" s="1" t="s">
        <v>18</v>
      </c>
      <c r="H502" s="1" t="s">
        <v>97</v>
      </c>
      <c r="I502">
        <v>1</v>
      </c>
      <c r="J502">
        <v>1724.05</v>
      </c>
      <c r="K502">
        <v>0.1</v>
      </c>
      <c r="L502">
        <v>440.51</v>
      </c>
      <c r="M502" s="1" t="s">
        <v>20</v>
      </c>
    </row>
    <row r="503" spans="1:13" x14ac:dyDescent="0.3">
      <c r="A503" s="1" t="s">
        <v>1131</v>
      </c>
      <c r="B503" s="2">
        <v>45915</v>
      </c>
      <c r="C503" s="1" t="s">
        <v>1132</v>
      </c>
      <c r="D503" s="1" t="s">
        <v>1133</v>
      </c>
      <c r="E503" s="1" t="s">
        <v>43</v>
      </c>
      <c r="F503" s="1" t="s">
        <v>25</v>
      </c>
      <c r="G503" s="1" t="s">
        <v>44</v>
      </c>
      <c r="H503" s="1" t="s">
        <v>75</v>
      </c>
      <c r="I503">
        <v>10</v>
      </c>
      <c r="J503">
        <v>51736.18</v>
      </c>
      <c r="K503">
        <v>0.1</v>
      </c>
      <c r="L503">
        <v>9152.26</v>
      </c>
      <c r="M503" s="1" t="s">
        <v>39</v>
      </c>
    </row>
    <row r="504" spans="1:13" x14ac:dyDescent="0.3">
      <c r="A504" s="1" t="s">
        <v>1134</v>
      </c>
      <c r="B504" s="2">
        <v>45817</v>
      </c>
      <c r="C504" s="1" t="s">
        <v>501</v>
      </c>
      <c r="D504" s="1" t="s">
        <v>502</v>
      </c>
      <c r="E504" s="1" t="s">
        <v>24</v>
      </c>
      <c r="F504" s="1" t="s">
        <v>25</v>
      </c>
      <c r="G504" s="1" t="s">
        <v>44</v>
      </c>
      <c r="H504" s="1" t="s">
        <v>75</v>
      </c>
      <c r="I504">
        <v>6</v>
      </c>
      <c r="J504">
        <v>62580.71</v>
      </c>
      <c r="K504">
        <v>0.25</v>
      </c>
      <c r="L504">
        <v>12277.15</v>
      </c>
      <c r="M504" s="1" t="s">
        <v>20</v>
      </c>
    </row>
    <row r="505" spans="1:13" x14ac:dyDescent="0.3">
      <c r="A505" s="1" t="s">
        <v>1135</v>
      </c>
      <c r="B505" s="2">
        <v>45997</v>
      </c>
      <c r="C505" s="1" t="s">
        <v>870</v>
      </c>
      <c r="D505" s="1" t="s">
        <v>871</v>
      </c>
      <c r="E505" s="1" t="s">
        <v>43</v>
      </c>
      <c r="F505" s="1" t="s">
        <v>25</v>
      </c>
      <c r="G505" s="1" t="s">
        <v>44</v>
      </c>
      <c r="H505" s="1" t="s">
        <v>155</v>
      </c>
      <c r="I505">
        <v>8</v>
      </c>
      <c r="J505">
        <v>57691.14</v>
      </c>
      <c r="K505">
        <v>0.15</v>
      </c>
      <c r="L505">
        <v>8091.35</v>
      </c>
      <c r="M505" s="1" t="s">
        <v>28</v>
      </c>
    </row>
    <row r="506" spans="1:13" x14ac:dyDescent="0.3">
      <c r="A506" s="1" t="s">
        <v>1136</v>
      </c>
      <c r="B506" s="2">
        <v>45809</v>
      </c>
      <c r="C506" s="1" t="s">
        <v>211</v>
      </c>
      <c r="D506" s="1" t="s">
        <v>212</v>
      </c>
      <c r="E506" s="1" t="s">
        <v>37</v>
      </c>
      <c r="F506" s="1" t="s">
        <v>17</v>
      </c>
      <c r="G506" s="1" t="s">
        <v>32</v>
      </c>
      <c r="H506" s="1" t="s">
        <v>59</v>
      </c>
      <c r="I506">
        <v>5</v>
      </c>
      <c r="J506">
        <v>84451.46</v>
      </c>
      <c r="K506">
        <v>0.15</v>
      </c>
      <c r="L506">
        <v>18588.11</v>
      </c>
      <c r="M506" s="1" t="s">
        <v>50</v>
      </c>
    </row>
    <row r="507" spans="1:13" x14ac:dyDescent="0.3">
      <c r="A507" s="1" t="s">
        <v>1137</v>
      </c>
      <c r="B507" s="2">
        <v>45835</v>
      </c>
      <c r="C507" s="1" t="s">
        <v>1138</v>
      </c>
      <c r="D507" s="1" t="s">
        <v>1139</v>
      </c>
      <c r="E507" s="1" t="s">
        <v>24</v>
      </c>
      <c r="F507" s="1" t="s">
        <v>25</v>
      </c>
      <c r="G507" s="1" t="s">
        <v>32</v>
      </c>
      <c r="H507" s="1" t="s">
        <v>33</v>
      </c>
      <c r="I507">
        <v>5</v>
      </c>
      <c r="J507">
        <v>76964.59</v>
      </c>
      <c r="K507">
        <v>0.1</v>
      </c>
      <c r="L507">
        <v>15040.88</v>
      </c>
      <c r="M507" s="1" t="s">
        <v>50</v>
      </c>
    </row>
    <row r="508" spans="1:13" x14ac:dyDescent="0.3">
      <c r="A508" s="1" t="s">
        <v>1140</v>
      </c>
      <c r="B508" s="2">
        <v>45820</v>
      </c>
      <c r="C508" s="1" t="s">
        <v>1141</v>
      </c>
      <c r="D508" s="1" t="s">
        <v>1142</v>
      </c>
      <c r="E508" s="1" t="s">
        <v>43</v>
      </c>
      <c r="F508" s="1" t="s">
        <v>69</v>
      </c>
      <c r="G508" s="1" t="s">
        <v>32</v>
      </c>
      <c r="H508" s="1" t="s">
        <v>38</v>
      </c>
      <c r="I508">
        <v>9</v>
      </c>
      <c r="J508">
        <v>115352.07</v>
      </c>
      <c r="K508">
        <v>0.15</v>
      </c>
      <c r="L508">
        <v>27497.49</v>
      </c>
      <c r="M508" s="1" t="s">
        <v>20</v>
      </c>
    </row>
    <row r="509" spans="1:13" x14ac:dyDescent="0.3">
      <c r="A509" s="1" t="s">
        <v>1143</v>
      </c>
      <c r="B509" s="2">
        <v>45690</v>
      </c>
      <c r="C509" s="1" t="s">
        <v>157</v>
      </c>
      <c r="D509" s="1" t="s">
        <v>158</v>
      </c>
      <c r="E509" s="1" t="s">
        <v>74</v>
      </c>
      <c r="F509" s="1" t="s">
        <v>25</v>
      </c>
      <c r="G509" s="1" t="s">
        <v>44</v>
      </c>
      <c r="H509" s="1" t="s">
        <v>75</v>
      </c>
      <c r="I509">
        <v>6</v>
      </c>
      <c r="J509">
        <v>76836.94</v>
      </c>
      <c r="K509">
        <v>0.1</v>
      </c>
      <c r="L509">
        <v>10948.27</v>
      </c>
      <c r="M509" s="1" t="s">
        <v>55</v>
      </c>
    </row>
    <row r="510" spans="1:13" x14ac:dyDescent="0.3">
      <c r="A510" s="1" t="s">
        <v>1144</v>
      </c>
      <c r="B510" s="2">
        <v>45836</v>
      </c>
      <c r="C510" s="1" t="s">
        <v>1145</v>
      </c>
      <c r="D510" s="1" t="s">
        <v>1146</v>
      </c>
      <c r="E510" s="1" t="s">
        <v>24</v>
      </c>
      <c r="F510" s="1" t="s">
        <v>25</v>
      </c>
      <c r="G510" s="1" t="s">
        <v>32</v>
      </c>
      <c r="H510" s="1" t="s">
        <v>59</v>
      </c>
      <c r="I510">
        <v>8</v>
      </c>
      <c r="J510">
        <v>152869.14000000001</v>
      </c>
      <c r="K510">
        <v>0.1</v>
      </c>
      <c r="L510">
        <v>29968.51</v>
      </c>
      <c r="M510" s="1" t="s">
        <v>20</v>
      </c>
    </row>
    <row r="511" spans="1:13" x14ac:dyDescent="0.3">
      <c r="A511" s="1" t="s">
        <v>1147</v>
      </c>
      <c r="B511" s="2">
        <v>45758</v>
      </c>
      <c r="C511" s="1" t="s">
        <v>61</v>
      </c>
      <c r="D511" s="1" t="s">
        <v>62</v>
      </c>
      <c r="E511" s="1" t="s">
        <v>43</v>
      </c>
      <c r="F511" s="1" t="s">
        <v>17</v>
      </c>
      <c r="G511" s="1" t="s">
        <v>44</v>
      </c>
      <c r="H511" s="1" t="s">
        <v>45</v>
      </c>
      <c r="I511">
        <v>4</v>
      </c>
      <c r="J511">
        <v>26931.67</v>
      </c>
      <c r="K511">
        <v>0.15</v>
      </c>
      <c r="L511">
        <v>4324.72</v>
      </c>
      <c r="M511" s="1" t="s">
        <v>20</v>
      </c>
    </row>
    <row r="512" spans="1:13" x14ac:dyDescent="0.3">
      <c r="A512" s="1" t="s">
        <v>1148</v>
      </c>
      <c r="B512" s="2">
        <v>45925</v>
      </c>
      <c r="C512" s="1" t="s">
        <v>1149</v>
      </c>
      <c r="D512" s="1" t="s">
        <v>1150</v>
      </c>
      <c r="E512" s="1" t="s">
        <v>37</v>
      </c>
      <c r="F512" s="1" t="s">
        <v>25</v>
      </c>
      <c r="G512" s="1" t="s">
        <v>44</v>
      </c>
      <c r="H512" s="1" t="s">
        <v>155</v>
      </c>
      <c r="I512">
        <v>6</v>
      </c>
      <c r="J512">
        <v>54688.25</v>
      </c>
      <c r="K512">
        <v>0.15</v>
      </c>
      <c r="L512">
        <v>11383.15</v>
      </c>
      <c r="M512" s="1" t="s">
        <v>50</v>
      </c>
    </row>
    <row r="513" spans="1:13" x14ac:dyDescent="0.3">
      <c r="A513" s="1" t="s">
        <v>1151</v>
      </c>
      <c r="B513" s="2">
        <v>45980</v>
      </c>
      <c r="C513" s="1" t="s">
        <v>220</v>
      </c>
      <c r="D513" s="1" t="s">
        <v>221</v>
      </c>
      <c r="E513" s="1" t="s">
        <v>16</v>
      </c>
      <c r="F513" s="1" t="s">
        <v>69</v>
      </c>
      <c r="G513" s="1" t="s">
        <v>26</v>
      </c>
      <c r="H513" s="1" t="s">
        <v>86</v>
      </c>
      <c r="I513">
        <v>1</v>
      </c>
      <c r="J513">
        <v>1639.2</v>
      </c>
      <c r="K513">
        <v>0.1</v>
      </c>
      <c r="L513">
        <v>333.25</v>
      </c>
      <c r="M513" s="1" t="s">
        <v>39</v>
      </c>
    </row>
    <row r="514" spans="1:13" x14ac:dyDescent="0.3">
      <c r="A514" s="1" t="s">
        <v>1152</v>
      </c>
      <c r="B514" s="2">
        <v>45722</v>
      </c>
      <c r="C514" s="1" t="s">
        <v>1153</v>
      </c>
      <c r="D514" s="1" t="s">
        <v>1154</v>
      </c>
      <c r="E514" s="1" t="s">
        <v>16</v>
      </c>
      <c r="F514" s="1" t="s">
        <v>69</v>
      </c>
      <c r="G514" s="1" t="s">
        <v>32</v>
      </c>
      <c r="H514" s="1" t="s">
        <v>54</v>
      </c>
      <c r="I514">
        <v>10</v>
      </c>
      <c r="J514">
        <v>144700.44</v>
      </c>
      <c r="K514">
        <v>0</v>
      </c>
      <c r="L514">
        <v>37928.07</v>
      </c>
      <c r="M514" s="1" t="s">
        <v>39</v>
      </c>
    </row>
    <row r="515" spans="1:13" x14ac:dyDescent="0.3">
      <c r="A515" s="1" t="s">
        <v>1155</v>
      </c>
      <c r="B515" s="2">
        <v>45825</v>
      </c>
      <c r="C515" s="1" t="s">
        <v>41</v>
      </c>
      <c r="D515" s="1" t="s">
        <v>42</v>
      </c>
      <c r="E515" s="1" t="s">
        <v>24</v>
      </c>
      <c r="F515" s="1" t="s">
        <v>25</v>
      </c>
      <c r="G515" s="1" t="s">
        <v>32</v>
      </c>
      <c r="H515" s="1" t="s">
        <v>54</v>
      </c>
      <c r="I515">
        <v>2</v>
      </c>
      <c r="J515">
        <v>27219.69</v>
      </c>
      <c r="K515">
        <v>0.15</v>
      </c>
      <c r="L515">
        <v>5469.7</v>
      </c>
      <c r="M515" s="1" t="s">
        <v>55</v>
      </c>
    </row>
    <row r="516" spans="1:13" x14ac:dyDescent="0.3">
      <c r="A516" s="1" t="s">
        <v>1156</v>
      </c>
      <c r="B516" s="2">
        <v>45987</v>
      </c>
      <c r="C516" s="1" t="s">
        <v>730</v>
      </c>
      <c r="D516" s="1" t="s">
        <v>731</v>
      </c>
      <c r="E516" s="1" t="s">
        <v>24</v>
      </c>
      <c r="F516" s="1" t="s">
        <v>25</v>
      </c>
      <c r="G516" s="1" t="s">
        <v>18</v>
      </c>
      <c r="H516" s="1" t="s">
        <v>97</v>
      </c>
      <c r="I516">
        <v>10</v>
      </c>
      <c r="J516">
        <v>8718.41</v>
      </c>
      <c r="K516">
        <v>0.2</v>
      </c>
      <c r="L516">
        <v>2404.37</v>
      </c>
      <c r="M516" s="1" t="s">
        <v>28</v>
      </c>
    </row>
    <row r="517" spans="1:13" x14ac:dyDescent="0.3">
      <c r="A517" s="1" t="s">
        <v>1157</v>
      </c>
      <c r="B517" s="2">
        <v>45700</v>
      </c>
      <c r="C517" s="1" t="s">
        <v>1158</v>
      </c>
      <c r="D517" s="1" t="s">
        <v>1159</v>
      </c>
      <c r="E517" s="1" t="s">
        <v>43</v>
      </c>
      <c r="F517" s="1" t="s">
        <v>17</v>
      </c>
      <c r="G517" s="1" t="s">
        <v>26</v>
      </c>
      <c r="H517" s="1" t="s">
        <v>49</v>
      </c>
      <c r="I517">
        <v>9</v>
      </c>
      <c r="J517">
        <v>31838.37</v>
      </c>
      <c r="K517">
        <v>0.05</v>
      </c>
      <c r="L517">
        <v>8104.99</v>
      </c>
      <c r="M517" s="1" t="s">
        <v>50</v>
      </c>
    </row>
    <row r="518" spans="1:13" x14ac:dyDescent="0.3">
      <c r="A518" s="1" t="s">
        <v>1160</v>
      </c>
      <c r="B518" s="2">
        <v>45701</v>
      </c>
      <c r="C518" s="1" t="s">
        <v>964</v>
      </c>
      <c r="D518" s="1" t="s">
        <v>965</v>
      </c>
      <c r="E518" s="1" t="s">
        <v>37</v>
      </c>
      <c r="F518" s="1" t="s">
        <v>25</v>
      </c>
      <c r="G518" s="1" t="s">
        <v>32</v>
      </c>
      <c r="H518" s="1" t="s">
        <v>59</v>
      </c>
      <c r="I518">
        <v>6</v>
      </c>
      <c r="J518">
        <v>63237.72</v>
      </c>
      <c r="K518">
        <v>0.15</v>
      </c>
      <c r="L518">
        <v>14005.79</v>
      </c>
      <c r="M518" s="1" t="s">
        <v>55</v>
      </c>
    </row>
    <row r="519" spans="1:13" x14ac:dyDescent="0.3">
      <c r="A519" s="1" t="s">
        <v>1161</v>
      </c>
      <c r="B519" s="2">
        <v>45942</v>
      </c>
      <c r="C519" s="1" t="s">
        <v>99</v>
      </c>
      <c r="D519" s="1" t="s">
        <v>100</v>
      </c>
      <c r="E519" s="1" t="s">
        <v>74</v>
      </c>
      <c r="F519" s="1" t="s">
        <v>25</v>
      </c>
      <c r="G519" s="1" t="s">
        <v>32</v>
      </c>
      <c r="H519" s="1" t="s">
        <v>54</v>
      </c>
      <c r="I519">
        <v>4</v>
      </c>
      <c r="J519">
        <v>70056.95</v>
      </c>
      <c r="K519">
        <v>0.1</v>
      </c>
      <c r="L519">
        <v>12517.66</v>
      </c>
      <c r="M519" s="1" t="s">
        <v>28</v>
      </c>
    </row>
    <row r="520" spans="1:13" x14ac:dyDescent="0.3">
      <c r="A520" s="1" t="s">
        <v>1162</v>
      </c>
      <c r="B520" s="2">
        <v>45669</v>
      </c>
      <c r="C520" s="1" t="s">
        <v>99</v>
      </c>
      <c r="D520" s="1" t="s">
        <v>100</v>
      </c>
      <c r="E520" s="1" t="s">
        <v>16</v>
      </c>
      <c r="F520" s="1" t="s">
        <v>25</v>
      </c>
      <c r="G520" s="1" t="s">
        <v>32</v>
      </c>
      <c r="H520" s="1" t="s">
        <v>33</v>
      </c>
      <c r="I520">
        <v>7</v>
      </c>
      <c r="J520">
        <v>55631.66</v>
      </c>
      <c r="K520">
        <v>0</v>
      </c>
      <c r="L520">
        <v>10415.35</v>
      </c>
      <c r="M520" s="1" t="s">
        <v>55</v>
      </c>
    </row>
    <row r="521" spans="1:13" x14ac:dyDescent="0.3">
      <c r="A521" s="1" t="s">
        <v>1163</v>
      </c>
      <c r="B521" s="2">
        <v>45752</v>
      </c>
      <c r="C521" s="1" t="s">
        <v>229</v>
      </c>
      <c r="D521" s="1" t="s">
        <v>230</v>
      </c>
      <c r="E521" s="1" t="s">
        <v>24</v>
      </c>
      <c r="F521" s="1" t="s">
        <v>25</v>
      </c>
      <c r="G521" s="1" t="s">
        <v>18</v>
      </c>
      <c r="H521" s="1" t="s">
        <v>19</v>
      </c>
      <c r="I521">
        <v>5</v>
      </c>
      <c r="J521">
        <v>6600.81</v>
      </c>
      <c r="K521">
        <v>0</v>
      </c>
      <c r="L521">
        <v>1826.46</v>
      </c>
      <c r="M521" s="1" t="s">
        <v>50</v>
      </c>
    </row>
    <row r="522" spans="1:13" x14ac:dyDescent="0.3">
      <c r="A522" s="1" t="s">
        <v>1164</v>
      </c>
      <c r="B522" s="2">
        <v>45959</v>
      </c>
      <c r="C522" s="1" t="s">
        <v>1165</v>
      </c>
      <c r="D522" s="1" t="s">
        <v>1166</v>
      </c>
      <c r="E522" s="1" t="s">
        <v>37</v>
      </c>
      <c r="F522" s="1" t="s">
        <v>25</v>
      </c>
      <c r="G522" s="1" t="s">
        <v>32</v>
      </c>
      <c r="H522" s="1" t="s">
        <v>79</v>
      </c>
      <c r="I522">
        <v>5</v>
      </c>
      <c r="J522">
        <v>86127.75</v>
      </c>
      <c r="K522">
        <v>0.1</v>
      </c>
      <c r="L522">
        <v>18855.419999999998</v>
      </c>
      <c r="M522" s="1" t="s">
        <v>28</v>
      </c>
    </row>
    <row r="523" spans="1:13" x14ac:dyDescent="0.3">
      <c r="A523" s="1" t="s">
        <v>1167</v>
      </c>
      <c r="B523" s="2">
        <v>45910</v>
      </c>
      <c r="C523" s="1" t="s">
        <v>303</v>
      </c>
      <c r="D523" s="1" t="s">
        <v>304</v>
      </c>
      <c r="E523" s="1" t="s">
        <v>43</v>
      </c>
      <c r="F523" s="1" t="s">
        <v>25</v>
      </c>
      <c r="G523" s="1" t="s">
        <v>32</v>
      </c>
      <c r="H523" s="1" t="s">
        <v>59</v>
      </c>
      <c r="I523">
        <v>1</v>
      </c>
      <c r="J523">
        <v>19987.7</v>
      </c>
      <c r="K523">
        <v>0.05</v>
      </c>
      <c r="L523">
        <v>4645.37</v>
      </c>
      <c r="M523" s="1" t="s">
        <v>55</v>
      </c>
    </row>
    <row r="524" spans="1:13" x14ac:dyDescent="0.3">
      <c r="A524" s="1" t="s">
        <v>1168</v>
      </c>
      <c r="B524" s="2">
        <v>45899</v>
      </c>
      <c r="C524" s="1" t="s">
        <v>624</v>
      </c>
      <c r="D524" s="1" t="s">
        <v>625</v>
      </c>
      <c r="E524" s="1" t="s">
        <v>24</v>
      </c>
      <c r="F524" s="1" t="s">
        <v>69</v>
      </c>
      <c r="G524" s="1" t="s">
        <v>26</v>
      </c>
      <c r="H524" s="1" t="s">
        <v>49</v>
      </c>
      <c r="I524">
        <v>6</v>
      </c>
      <c r="J524">
        <v>24372.25</v>
      </c>
      <c r="K524">
        <v>0</v>
      </c>
      <c r="L524">
        <v>5789.19</v>
      </c>
      <c r="M524" s="1" t="s">
        <v>50</v>
      </c>
    </row>
    <row r="525" spans="1:13" x14ac:dyDescent="0.3">
      <c r="A525" s="1" t="s">
        <v>1169</v>
      </c>
      <c r="B525" s="2">
        <v>45692</v>
      </c>
      <c r="C525" s="1" t="s">
        <v>246</v>
      </c>
      <c r="D525" s="1" t="s">
        <v>247</v>
      </c>
      <c r="E525" s="1" t="s">
        <v>37</v>
      </c>
      <c r="F525" s="1" t="s">
        <v>25</v>
      </c>
      <c r="G525" s="1" t="s">
        <v>32</v>
      </c>
      <c r="H525" s="1" t="s">
        <v>38</v>
      </c>
      <c r="I525">
        <v>3</v>
      </c>
      <c r="J525">
        <v>56600.26</v>
      </c>
      <c r="K525">
        <v>0.05</v>
      </c>
      <c r="L525">
        <v>9883.52</v>
      </c>
      <c r="M525" s="1" t="s">
        <v>50</v>
      </c>
    </row>
    <row r="526" spans="1:13" x14ac:dyDescent="0.3">
      <c r="A526" s="1" t="s">
        <v>1170</v>
      </c>
      <c r="B526" s="2">
        <v>45872</v>
      </c>
      <c r="C526" s="1" t="s">
        <v>801</v>
      </c>
      <c r="D526" s="1" t="s">
        <v>802</v>
      </c>
      <c r="E526" s="1" t="s">
        <v>24</v>
      </c>
      <c r="F526" s="1" t="s">
        <v>25</v>
      </c>
      <c r="G526" s="1" t="s">
        <v>26</v>
      </c>
      <c r="H526" s="1" t="s">
        <v>86</v>
      </c>
      <c r="I526">
        <v>6</v>
      </c>
      <c r="J526">
        <v>10831.03</v>
      </c>
      <c r="K526">
        <v>0.1</v>
      </c>
      <c r="L526">
        <v>2901.51</v>
      </c>
      <c r="M526" s="1" t="s">
        <v>28</v>
      </c>
    </row>
    <row r="527" spans="1:13" x14ac:dyDescent="0.3">
      <c r="A527" s="1" t="s">
        <v>1171</v>
      </c>
      <c r="B527" s="2">
        <v>45994</v>
      </c>
      <c r="C527" s="1" t="s">
        <v>1021</v>
      </c>
      <c r="D527" s="1" t="s">
        <v>1022</v>
      </c>
      <c r="E527" s="1" t="s">
        <v>74</v>
      </c>
      <c r="F527" s="1" t="s">
        <v>69</v>
      </c>
      <c r="G527" s="1" t="s">
        <v>32</v>
      </c>
      <c r="H527" s="1" t="s">
        <v>79</v>
      </c>
      <c r="I527">
        <v>9</v>
      </c>
      <c r="J527">
        <v>65519.75</v>
      </c>
      <c r="K527">
        <v>0.15</v>
      </c>
      <c r="L527">
        <v>14556.74</v>
      </c>
      <c r="M527" s="1" t="s">
        <v>28</v>
      </c>
    </row>
    <row r="528" spans="1:13" x14ac:dyDescent="0.3">
      <c r="A528" s="1" t="s">
        <v>1172</v>
      </c>
      <c r="B528" s="2">
        <v>45747</v>
      </c>
      <c r="C528" s="1" t="s">
        <v>972</v>
      </c>
      <c r="D528" s="1" t="s">
        <v>973</v>
      </c>
      <c r="E528" s="1" t="s">
        <v>24</v>
      </c>
      <c r="F528" s="1" t="s">
        <v>25</v>
      </c>
      <c r="G528" s="1" t="s">
        <v>44</v>
      </c>
      <c r="H528" s="1" t="s">
        <v>155</v>
      </c>
      <c r="I528">
        <v>10</v>
      </c>
      <c r="J528">
        <v>81176.460000000006</v>
      </c>
      <c r="K528">
        <v>0.1</v>
      </c>
      <c r="L528">
        <v>14729.97</v>
      </c>
      <c r="M528" s="1" t="s">
        <v>50</v>
      </c>
    </row>
    <row r="529" spans="1:13" x14ac:dyDescent="0.3">
      <c r="A529" s="1" t="s">
        <v>1173</v>
      </c>
      <c r="B529" s="2">
        <v>45921</v>
      </c>
      <c r="C529" s="1" t="s">
        <v>239</v>
      </c>
      <c r="D529" s="1" t="s">
        <v>240</v>
      </c>
      <c r="E529" s="1" t="s">
        <v>43</v>
      </c>
      <c r="F529" s="1" t="s">
        <v>25</v>
      </c>
      <c r="G529" s="1" t="s">
        <v>26</v>
      </c>
      <c r="H529" s="1" t="s">
        <v>231</v>
      </c>
      <c r="I529">
        <v>6</v>
      </c>
      <c r="J529">
        <v>11064.85</v>
      </c>
      <c r="K529">
        <v>0.05</v>
      </c>
      <c r="L529">
        <v>2855.58</v>
      </c>
      <c r="M529" s="1" t="s">
        <v>39</v>
      </c>
    </row>
    <row r="530" spans="1:13" x14ac:dyDescent="0.3">
      <c r="A530" s="1" t="s">
        <v>1174</v>
      </c>
      <c r="B530" s="2">
        <v>45750</v>
      </c>
      <c r="C530" s="1" t="s">
        <v>801</v>
      </c>
      <c r="D530" s="1" t="s">
        <v>802</v>
      </c>
      <c r="E530" s="1" t="s">
        <v>43</v>
      </c>
      <c r="F530" s="1" t="s">
        <v>25</v>
      </c>
      <c r="G530" s="1" t="s">
        <v>18</v>
      </c>
      <c r="H530" s="1" t="s">
        <v>145</v>
      </c>
      <c r="I530">
        <v>8</v>
      </c>
      <c r="J530">
        <v>9382.57</v>
      </c>
      <c r="K530">
        <v>0.1</v>
      </c>
      <c r="L530">
        <v>2755.94</v>
      </c>
      <c r="M530" s="1" t="s">
        <v>28</v>
      </c>
    </row>
    <row r="531" spans="1:13" x14ac:dyDescent="0.3">
      <c r="A531" s="1" t="s">
        <v>1175</v>
      </c>
      <c r="B531" s="2">
        <v>45747</v>
      </c>
      <c r="C531" s="1" t="s">
        <v>1054</v>
      </c>
      <c r="D531" s="1" t="s">
        <v>1055</v>
      </c>
      <c r="E531" s="1" t="s">
        <v>24</v>
      </c>
      <c r="F531" s="1" t="s">
        <v>25</v>
      </c>
      <c r="G531" s="1" t="s">
        <v>18</v>
      </c>
      <c r="H531" s="1" t="s">
        <v>19</v>
      </c>
      <c r="I531">
        <v>8</v>
      </c>
      <c r="J531">
        <v>12020.5</v>
      </c>
      <c r="K531">
        <v>0.15</v>
      </c>
      <c r="L531">
        <v>3480.43</v>
      </c>
      <c r="M531" s="1" t="s">
        <v>20</v>
      </c>
    </row>
    <row r="532" spans="1:13" x14ac:dyDescent="0.3">
      <c r="A532" s="1" t="s">
        <v>1176</v>
      </c>
      <c r="B532" s="2">
        <v>45772</v>
      </c>
      <c r="C532" s="1" t="s">
        <v>668</v>
      </c>
      <c r="D532" s="1" t="s">
        <v>669</v>
      </c>
      <c r="E532" s="1" t="s">
        <v>43</v>
      </c>
      <c r="F532" s="1" t="s">
        <v>69</v>
      </c>
      <c r="G532" s="1" t="s">
        <v>18</v>
      </c>
      <c r="H532" s="1" t="s">
        <v>97</v>
      </c>
      <c r="I532">
        <v>2</v>
      </c>
      <c r="J532">
        <v>2499.52</v>
      </c>
      <c r="K532">
        <v>0</v>
      </c>
      <c r="L532">
        <v>579.05999999999995</v>
      </c>
      <c r="M532" s="1" t="s">
        <v>20</v>
      </c>
    </row>
    <row r="533" spans="1:13" x14ac:dyDescent="0.3">
      <c r="A533" s="1" t="s">
        <v>1177</v>
      </c>
      <c r="B533" s="2">
        <v>45762</v>
      </c>
      <c r="C533" s="1" t="s">
        <v>1178</v>
      </c>
      <c r="D533" s="1" t="s">
        <v>1179</v>
      </c>
      <c r="E533" s="1" t="s">
        <v>43</v>
      </c>
      <c r="F533" s="1" t="s">
        <v>25</v>
      </c>
      <c r="G533" s="1" t="s">
        <v>32</v>
      </c>
      <c r="H533" s="1" t="s">
        <v>79</v>
      </c>
      <c r="I533">
        <v>9</v>
      </c>
      <c r="J533">
        <v>180637.38</v>
      </c>
      <c r="K533">
        <v>0.05</v>
      </c>
      <c r="L533">
        <v>43666.79</v>
      </c>
      <c r="M533" s="1" t="s">
        <v>50</v>
      </c>
    </row>
    <row r="534" spans="1:13" x14ac:dyDescent="0.3">
      <c r="A534" s="1" t="s">
        <v>1180</v>
      </c>
      <c r="B534" s="2">
        <v>45853</v>
      </c>
      <c r="C534" s="1" t="s">
        <v>875</v>
      </c>
      <c r="D534" s="1" t="s">
        <v>876</v>
      </c>
      <c r="E534" s="1" t="s">
        <v>43</v>
      </c>
      <c r="F534" s="1" t="s">
        <v>17</v>
      </c>
      <c r="G534" s="1" t="s">
        <v>18</v>
      </c>
      <c r="H534" s="1" t="s">
        <v>19</v>
      </c>
      <c r="I534">
        <v>3</v>
      </c>
      <c r="J534">
        <v>5767.28</v>
      </c>
      <c r="K534">
        <v>0</v>
      </c>
      <c r="L534">
        <v>1570.25</v>
      </c>
      <c r="M534" s="1" t="s">
        <v>50</v>
      </c>
    </row>
    <row r="535" spans="1:13" x14ac:dyDescent="0.3">
      <c r="A535" s="1" t="s">
        <v>1181</v>
      </c>
      <c r="B535" s="2">
        <v>45971</v>
      </c>
      <c r="C535" s="1" t="s">
        <v>1182</v>
      </c>
      <c r="D535" s="1" t="s">
        <v>1183</v>
      </c>
      <c r="E535" s="1" t="s">
        <v>43</v>
      </c>
      <c r="F535" s="1" t="s">
        <v>25</v>
      </c>
      <c r="G535" s="1" t="s">
        <v>18</v>
      </c>
      <c r="H535" s="1" t="s">
        <v>19</v>
      </c>
      <c r="I535">
        <v>8</v>
      </c>
      <c r="J535">
        <v>9629.4599999999991</v>
      </c>
      <c r="K535">
        <v>0.15</v>
      </c>
      <c r="L535">
        <v>3013.96</v>
      </c>
      <c r="M535" s="1" t="s">
        <v>55</v>
      </c>
    </row>
    <row r="536" spans="1:13" x14ac:dyDescent="0.3">
      <c r="A536" s="1" t="s">
        <v>1184</v>
      </c>
      <c r="B536" s="2">
        <v>45771</v>
      </c>
      <c r="C536" s="1" t="s">
        <v>363</v>
      </c>
      <c r="D536" s="1" t="s">
        <v>364</v>
      </c>
      <c r="E536" s="1" t="s">
        <v>24</v>
      </c>
      <c r="F536" s="1" t="s">
        <v>25</v>
      </c>
      <c r="G536" s="1" t="s">
        <v>32</v>
      </c>
      <c r="H536" s="1" t="s">
        <v>59</v>
      </c>
      <c r="I536">
        <v>2</v>
      </c>
      <c r="J536">
        <v>17951.3</v>
      </c>
      <c r="K536">
        <v>0.15</v>
      </c>
      <c r="L536">
        <v>3695.71</v>
      </c>
      <c r="M536" s="1" t="s">
        <v>39</v>
      </c>
    </row>
    <row r="537" spans="1:13" x14ac:dyDescent="0.3">
      <c r="A537" s="1" t="s">
        <v>1185</v>
      </c>
      <c r="B537" s="2">
        <v>45732</v>
      </c>
      <c r="C537" s="1" t="s">
        <v>1186</v>
      </c>
      <c r="D537" s="1" t="s">
        <v>1187</v>
      </c>
      <c r="E537" s="1" t="s">
        <v>24</v>
      </c>
      <c r="F537" s="1" t="s">
        <v>69</v>
      </c>
      <c r="G537" s="1" t="s">
        <v>18</v>
      </c>
      <c r="H537" s="1" t="s">
        <v>141</v>
      </c>
      <c r="I537">
        <v>6</v>
      </c>
      <c r="J537">
        <v>13129.95</v>
      </c>
      <c r="K537">
        <v>0.1</v>
      </c>
      <c r="L537">
        <v>3963.54</v>
      </c>
      <c r="M537" s="1" t="s">
        <v>50</v>
      </c>
    </row>
    <row r="538" spans="1:13" x14ac:dyDescent="0.3">
      <c r="A538" s="1" t="s">
        <v>1188</v>
      </c>
      <c r="B538" s="2">
        <v>45874</v>
      </c>
      <c r="C538" s="1" t="s">
        <v>476</v>
      </c>
      <c r="D538" s="1" t="s">
        <v>477</v>
      </c>
      <c r="E538" s="1" t="s">
        <v>74</v>
      </c>
      <c r="F538" s="1" t="s">
        <v>25</v>
      </c>
      <c r="G538" s="1" t="s">
        <v>18</v>
      </c>
      <c r="H538" s="1" t="s">
        <v>97</v>
      </c>
      <c r="I538">
        <v>10</v>
      </c>
      <c r="J538">
        <v>23730.44</v>
      </c>
      <c r="K538">
        <v>0.1</v>
      </c>
      <c r="L538">
        <v>7717.77</v>
      </c>
      <c r="M538" s="1" t="s">
        <v>55</v>
      </c>
    </row>
    <row r="539" spans="1:13" x14ac:dyDescent="0.3">
      <c r="A539" s="1" t="s">
        <v>1189</v>
      </c>
      <c r="B539" s="2">
        <v>45934</v>
      </c>
      <c r="C539" s="1" t="s">
        <v>267</v>
      </c>
      <c r="D539" s="1" t="s">
        <v>268</v>
      </c>
      <c r="E539" s="1" t="s">
        <v>43</v>
      </c>
      <c r="F539" s="1" t="s">
        <v>25</v>
      </c>
      <c r="G539" s="1" t="s">
        <v>44</v>
      </c>
      <c r="H539" s="1" t="s">
        <v>70</v>
      </c>
      <c r="I539">
        <v>9</v>
      </c>
      <c r="J539">
        <v>90258.81</v>
      </c>
      <c r="K539">
        <v>0.1</v>
      </c>
      <c r="L539">
        <v>18755.650000000001</v>
      </c>
      <c r="M539" s="1" t="s">
        <v>28</v>
      </c>
    </row>
    <row r="540" spans="1:13" x14ac:dyDescent="0.3">
      <c r="A540" s="1" t="s">
        <v>1190</v>
      </c>
      <c r="B540" s="2">
        <v>45906</v>
      </c>
      <c r="C540" s="1" t="s">
        <v>52</v>
      </c>
      <c r="D540" s="1" t="s">
        <v>53</v>
      </c>
      <c r="E540" s="1" t="s">
        <v>43</v>
      </c>
      <c r="F540" s="1" t="s">
        <v>17</v>
      </c>
      <c r="G540" s="1" t="s">
        <v>32</v>
      </c>
      <c r="H540" s="1" t="s">
        <v>79</v>
      </c>
      <c r="I540">
        <v>2</v>
      </c>
      <c r="J540">
        <v>17015.8</v>
      </c>
      <c r="K540">
        <v>0.1</v>
      </c>
      <c r="L540">
        <v>2940.72</v>
      </c>
      <c r="M540" s="1" t="s">
        <v>20</v>
      </c>
    </row>
    <row r="541" spans="1:13" x14ac:dyDescent="0.3">
      <c r="A541" s="1" t="s">
        <v>1191</v>
      </c>
      <c r="B541" s="2">
        <v>45821</v>
      </c>
      <c r="C541" s="1" t="s">
        <v>1113</v>
      </c>
      <c r="D541" s="1" t="s">
        <v>1114</v>
      </c>
      <c r="E541" s="1" t="s">
        <v>24</v>
      </c>
      <c r="F541" s="1" t="s">
        <v>25</v>
      </c>
      <c r="G541" s="1" t="s">
        <v>18</v>
      </c>
      <c r="H541" s="1" t="s">
        <v>141</v>
      </c>
      <c r="I541">
        <v>4</v>
      </c>
      <c r="J541">
        <v>8165.95</v>
      </c>
      <c r="K541">
        <v>0.25</v>
      </c>
      <c r="L541">
        <v>2114.52</v>
      </c>
      <c r="M541" s="1" t="s">
        <v>55</v>
      </c>
    </row>
    <row r="542" spans="1:13" x14ac:dyDescent="0.3">
      <c r="A542" s="1" t="s">
        <v>1192</v>
      </c>
      <c r="B542" s="2">
        <v>46014</v>
      </c>
      <c r="C542" s="1" t="s">
        <v>386</v>
      </c>
      <c r="D542" s="1" t="s">
        <v>387</v>
      </c>
      <c r="E542" s="1" t="s">
        <v>16</v>
      </c>
      <c r="F542" s="1" t="s">
        <v>25</v>
      </c>
      <c r="G542" s="1" t="s">
        <v>26</v>
      </c>
      <c r="H542" s="1" t="s">
        <v>86</v>
      </c>
      <c r="I542">
        <v>9</v>
      </c>
      <c r="J542">
        <v>24101.83</v>
      </c>
      <c r="K542">
        <v>0.05</v>
      </c>
      <c r="L542">
        <v>7201.66</v>
      </c>
      <c r="M542" s="1" t="s">
        <v>55</v>
      </c>
    </row>
    <row r="543" spans="1:13" x14ac:dyDescent="0.3">
      <c r="A543" s="1" t="s">
        <v>1193</v>
      </c>
      <c r="B543" s="2">
        <v>45849</v>
      </c>
      <c r="C543" s="1" t="s">
        <v>643</v>
      </c>
      <c r="D543" s="1" t="s">
        <v>644</v>
      </c>
      <c r="E543" s="1" t="s">
        <v>16</v>
      </c>
      <c r="F543" s="1" t="s">
        <v>69</v>
      </c>
      <c r="G543" s="1" t="s">
        <v>44</v>
      </c>
      <c r="H543" s="1" t="s">
        <v>155</v>
      </c>
      <c r="I543">
        <v>10</v>
      </c>
      <c r="J543">
        <v>126118.02</v>
      </c>
      <c r="K543">
        <v>0.1</v>
      </c>
      <c r="L543">
        <v>17702.39</v>
      </c>
      <c r="M543" s="1" t="s">
        <v>50</v>
      </c>
    </row>
    <row r="544" spans="1:13" x14ac:dyDescent="0.3">
      <c r="A544" s="1" t="s">
        <v>1194</v>
      </c>
      <c r="B544" s="2">
        <v>45884</v>
      </c>
      <c r="C544" s="1" t="s">
        <v>124</v>
      </c>
      <c r="D544" s="1" t="s">
        <v>125</v>
      </c>
      <c r="E544" s="1" t="s">
        <v>43</v>
      </c>
      <c r="F544" s="1" t="s">
        <v>17</v>
      </c>
      <c r="G544" s="1" t="s">
        <v>32</v>
      </c>
      <c r="H544" s="1" t="s">
        <v>79</v>
      </c>
      <c r="I544">
        <v>3</v>
      </c>
      <c r="J544">
        <v>42844.04</v>
      </c>
      <c r="K544">
        <v>0.15</v>
      </c>
      <c r="L544">
        <v>7418.5</v>
      </c>
      <c r="M544" s="1" t="s">
        <v>28</v>
      </c>
    </row>
    <row r="545" spans="1:13" x14ac:dyDescent="0.3">
      <c r="A545" s="1" t="s">
        <v>1195</v>
      </c>
      <c r="B545" s="2">
        <v>45834</v>
      </c>
      <c r="C545" s="1" t="s">
        <v>1096</v>
      </c>
      <c r="D545" s="1" t="s">
        <v>1097</v>
      </c>
      <c r="E545" s="1" t="s">
        <v>74</v>
      </c>
      <c r="F545" s="1" t="s">
        <v>69</v>
      </c>
      <c r="G545" s="1" t="s">
        <v>44</v>
      </c>
      <c r="H545" s="1" t="s">
        <v>155</v>
      </c>
      <c r="I545">
        <v>9</v>
      </c>
      <c r="J545">
        <v>45537.99</v>
      </c>
      <c r="K545">
        <v>0.2</v>
      </c>
      <c r="L545">
        <v>6554.29</v>
      </c>
      <c r="M545" s="1" t="s">
        <v>55</v>
      </c>
    </row>
    <row r="546" spans="1:13" x14ac:dyDescent="0.3">
      <c r="A546" s="1" t="s">
        <v>1196</v>
      </c>
      <c r="B546" s="2">
        <v>45756</v>
      </c>
      <c r="C546" s="1" t="s">
        <v>887</v>
      </c>
      <c r="D546" s="1" t="s">
        <v>888</v>
      </c>
      <c r="E546" s="1" t="s">
        <v>43</v>
      </c>
      <c r="F546" s="1" t="s">
        <v>17</v>
      </c>
      <c r="G546" s="1" t="s">
        <v>32</v>
      </c>
      <c r="H546" s="1" t="s">
        <v>38</v>
      </c>
      <c r="I546">
        <v>4</v>
      </c>
      <c r="J546">
        <v>34299.32</v>
      </c>
      <c r="K546">
        <v>0.2</v>
      </c>
      <c r="L546">
        <v>6575.53</v>
      </c>
      <c r="M546" s="1" t="s">
        <v>55</v>
      </c>
    </row>
    <row r="547" spans="1:13" x14ac:dyDescent="0.3">
      <c r="A547" s="1" t="s">
        <v>1197</v>
      </c>
      <c r="B547" s="2">
        <v>45693</v>
      </c>
      <c r="C547" s="1" t="s">
        <v>1096</v>
      </c>
      <c r="D547" s="1" t="s">
        <v>1097</v>
      </c>
      <c r="E547" s="1" t="s">
        <v>74</v>
      </c>
      <c r="F547" s="1" t="s">
        <v>17</v>
      </c>
      <c r="G547" s="1" t="s">
        <v>26</v>
      </c>
      <c r="H547" s="1" t="s">
        <v>244</v>
      </c>
      <c r="I547">
        <v>3</v>
      </c>
      <c r="J547">
        <v>9654.7099999999991</v>
      </c>
      <c r="K547">
        <v>0.1</v>
      </c>
      <c r="L547">
        <v>2862.55</v>
      </c>
      <c r="M547" s="1" t="s">
        <v>28</v>
      </c>
    </row>
    <row r="548" spans="1:13" x14ac:dyDescent="0.3">
      <c r="A548" s="1" t="s">
        <v>1198</v>
      </c>
      <c r="B548" s="2">
        <v>45753</v>
      </c>
      <c r="C548" s="1" t="s">
        <v>184</v>
      </c>
      <c r="D548" s="1" t="s">
        <v>185</v>
      </c>
      <c r="E548" s="1" t="s">
        <v>37</v>
      </c>
      <c r="F548" s="1" t="s">
        <v>25</v>
      </c>
      <c r="G548" s="1" t="s">
        <v>18</v>
      </c>
      <c r="H548" s="1" t="s">
        <v>19</v>
      </c>
      <c r="I548">
        <v>7</v>
      </c>
      <c r="J548">
        <v>8651.31</v>
      </c>
      <c r="K548">
        <v>0.15</v>
      </c>
      <c r="L548">
        <v>2002.24</v>
      </c>
      <c r="M548" s="1" t="s">
        <v>28</v>
      </c>
    </row>
    <row r="549" spans="1:13" x14ac:dyDescent="0.3">
      <c r="A549" s="1" t="s">
        <v>1199</v>
      </c>
      <c r="B549" s="2">
        <v>45809</v>
      </c>
      <c r="C549" s="1" t="s">
        <v>61</v>
      </c>
      <c r="D549" s="1" t="s">
        <v>62</v>
      </c>
      <c r="E549" s="1" t="s">
        <v>74</v>
      </c>
      <c r="F549" s="1" t="s">
        <v>17</v>
      </c>
      <c r="G549" s="1" t="s">
        <v>44</v>
      </c>
      <c r="H549" s="1" t="s">
        <v>155</v>
      </c>
      <c r="I549">
        <v>4</v>
      </c>
      <c r="J549">
        <v>39860.78</v>
      </c>
      <c r="K549">
        <v>0</v>
      </c>
      <c r="L549">
        <v>7910.11</v>
      </c>
      <c r="M549" s="1" t="s">
        <v>55</v>
      </c>
    </row>
    <row r="550" spans="1:13" x14ac:dyDescent="0.3">
      <c r="A550" s="1" t="s">
        <v>1200</v>
      </c>
      <c r="B550" s="2">
        <v>45808</v>
      </c>
      <c r="C550" s="1" t="s">
        <v>1113</v>
      </c>
      <c r="D550" s="1" t="s">
        <v>1114</v>
      </c>
      <c r="E550" s="1" t="s">
        <v>37</v>
      </c>
      <c r="F550" s="1" t="s">
        <v>69</v>
      </c>
      <c r="G550" s="1" t="s">
        <v>44</v>
      </c>
      <c r="H550" s="1" t="s">
        <v>90</v>
      </c>
      <c r="I550">
        <v>5</v>
      </c>
      <c r="J550">
        <v>57429.18</v>
      </c>
      <c r="K550">
        <v>0.15</v>
      </c>
      <c r="L550">
        <v>8368.6</v>
      </c>
      <c r="M550" s="1" t="s">
        <v>39</v>
      </c>
    </row>
    <row r="551" spans="1:13" x14ac:dyDescent="0.3">
      <c r="A551" s="1" t="s">
        <v>1201</v>
      </c>
      <c r="B551" s="2">
        <v>45847</v>
      </c>
      <c r="C551" s="1" t="s">
        <v>312</v>
      </c>
      <c r="D551" s="1" t="s">
        <v>313</v>
      </c>
      <c r="E551" s="1" t="s">
        <v>24</v>
      </c>
      <c r="F551" s="1" t="s">
        <v>25</v>
      </c>
      <c r="G551" s="1" t="s">
        <v>18</v>
      </c>
      <c r="H551" s="1" t="s">
        <v>145</v>
      </c>
      <c r="I551">
        <v>6</v>
      </c>
      <c r="J551">
        <v>11079.36</v>
      </c>
      <c r="K551">
        <v>0.25</v>
      </c>
      <c r="L551">
        <v>3104.29</v>
      </c>
      <c r="M551" s="1" t="s">
        <v>55</v>
      </c>
    </row>
    <row r="552" spans="1:13" x14ac:dyDescent="0.3">
      <c r="A552" s="1" t="s">
        <v>1202</v>
      </c>
      <c r="B552" s="2">
        <v>45881</v>
      </c>
      <c r="C552" s="1" t="s">
        <v>1203</v>
      </c>
      <c r="D552" s="1" t="s">
        <v>1204</v>
      </c>
      <c r="E552" s="1" t="s">
        <v>43</v>
      </c>
      <c r="F552" s="1" t="s">
        <v>25</v>
      </c>
      <c r="G552" s="1" t="s">
        <v>44</v>
      </c>
      <c r="H552" s="1" t="s">
        <v>155</v>
      </c>
      <c r="I552">
        <v>4</v>
      </c>
      <c r="J552">
        <v>29426.720000000001</v>
      </c>
      <c r="K552">
        <v>0.2</v>
      </c>
      <c r="L552">
        <v>6344.85</v>
      </c>
      <c r="M552" s="1" t="s">
        <v>28</v>
      </c>
    </row>
    <row r="553" spans="1:13" x14ac:dyDescent="0.3">
      <c r="A553" s="1" t="s">
        <v>1205</v>
      </c>
      <c r="B553" s="2">
        <v>45694</v>
      </c>
      <c r="C553" s="1" t="s">
        <v>57</v>
      </c>
      <c r="D553" s="1" t="s">
        <v>58</v>
      </c>
      <c r="E553" s="1" t="s">
        <v>43</v>
      </c>
      <c r="F553" s="1" t="s">
        <v>25</v>
      </c>
      <c r="G553" s="1" t="s">
        <v>32</v>
      </c>
      <c r="H553" s="1" t="s">
        <v>38</v>
      </c>
      <c r="I553">
        <v>2</v>
      </c>
      <c r="J553">
        <v>34909.129999999997</v>
      </c>
      <c r="K553">
        <v>0</v>
      </c>
      <c r="L553">
        <v>6891.64</v>
      </c>
      <c r="M553" s="1" t="s">
        <v>55</v>
      </c>
    </row>
    <row r="554" spans="1:13" x14ac:dyDescent="0.3">
      <c r="A554" s="1" t="s">
        <v>1206</v>
      </c>
      <c r="B554" s="2">
        <v>45925</v>
      </c>
      <c r="C554" s="1" t="s">
        <v>193</v>
      </c>
      <c r="D554" s="1" t="s">
        <v>194</v>
      </c>
      <c r="E554" s="1" t="s">
        <v>16</v>
      </c>
      <c r="F554" s="1" t="s">
        <v>25</v>
      </c>
      <c r="G554" s="1" t="s">
        <v>44</v>
      </c>
      <c r="H554" s="1" t="s">
        <v>155</v>
      </c>
      <c r="I554">
        <v>10</v>
      </c>
      <c r="J554">
        <v>53654.44</v>
      </c>
      <c r="K554">
        <v>0.05</v>
      </c>
      <c r="L554">
        <v>9396.42</v>
      </c>
      <c r="M554" s="1" t="s">
        <v>28</v>
      </c>
    </row>
    <row r="555" spans="1:13" x14ac:dyDescent="0.3">
      <c r="A555" s="1" t="s">
        <v>1207</v>
      </c>
      <c r="B555" s="2">
        <v>45840</v>
      </c>
      <c r="C555" s="1" t="s">
        <v>1208</v>
      </c>
      <c r="D555" s="1" t="s">
        <v>1209</v>
      </c>
      <c r="E555" s="1" t="s">
        <v>24</v>
      </c>
      <c r="F555" s="1" t="s">
        <v>69</v>
      </c>
      <c r="G555" s="1" t="s">
        <v>18</v>
      </c>
      <c r="H555" s="1" t="s">
        <v>145</v>
      </c>
      <c r="I555">
        <v>9</v>
      </c>
      <c r="J555">
        <v>10813.57</v>
      </c>
      <c r="K555">
        <v>0.1</v>
      </c>
      <c r="L555">
        <v>2878.02</v>
      </c>
      <c r="M555" s="1" t="s">
        <v>55</v>
      </c>
    </row>
    <row r="556" spans="1:13" x14ac:dyDescent="0.3">
      <c r="A556" s="1" t="s">
        <v>1210</v>
      </c>
      <c r="B556" s="2">
        <v>45670</v>
      </c>
      <c r="C556" s="1" t="s">
        <v>1063</v>
      </c>
      <c r="D556" s="1" t="s">
        <v>1064</v>
      </c>
      <c r="E556" s="1" t="s">
        <v>74</v>
      </c>
      <c r="F556" s="1" t="s">
        <v>25</v>
      </c>
      <c r="G556" s="1" t="s">
        <v>18</v>
      </c>
      <c r="H556" s="1" t="s">
        <v>19</v>
      </c>
      <c r="I556">
        <v>2</v>
      </c>
      <c r="J556">
        <v>2996.1</v>
      </c>
      <c r="K556">
        <v>0.2</v>
      </c>
      <c r="L556">
        <v>938.36</v>
      </c>
      <c r="M556" s="1" t="s">
        <v>55</v>
      </c>
    </row>
    <row r="557" spans="1:13" x14ac:dyDescent="0.3">
      <c r="A557" s="1" t="s">
        <v>1211</v>
      </c>
      <c r="B557" s="2">
        <v>45936</v>
      </c>
      <c r="C557" s="1" t="s">
        <v>887</v>
      </c>
      <c r="D557" s="1" t="s">
        <v>888</v>
      </c>
      <c r="E557" s="1" t="s">
        <v>37</v>
      </c>
      <c r="F557" s="1" t="s">
        <v>17</v>
      </c>
      <c r="G557" s="1" t="s">
        <v>18</v>
      </c>
      <c r="H557" s="1" t="s">
        <v>145</v>
      </c>
      <c r="I557">
        <v>8</v>
      </c>
      <c r="J557">
        <v>13432.82</v>
      </c>
      <c r="K557">
        <v>0.1</v>
      </c>
      <c r="L557">
        <v>3233.04</v>
      </c>
      <c r="M557" s="1" t="s">
        <v>28</v>
      </c>
    </row>
    <row r="558" spans="1:13" x14ac:dyDescent="0.3">
      <c r="A558" s="1" t="s">
        <v>1212</v>
      </c>
      <c r="B558" s="2">
        <v>45874</v>
      </c>
      <c r="C558" s="1" t="s">
        <v>751</v>
      </c>
      <c r="D558" s="1" t="s">
        <v>752</v>
      </c>
      <c r="E558" s="1" t="s">
        <v>74</v>
      </c>
      <c r="F558" s="1" t="s">
        <v>25</v>
      </c>
      <c r="G558" s="1" t="s">
        <v>26</v>
      </c>
      <c r="H558" s="1" t="s">
        <v>231</v>
      </c>
      <c r="I558">
        <v>1</v>
      </c>
      <c r="J558">
        <v>1685.26</v>
      </c>
      <c r="K558">
        <v>0.1</v>
      </c>
      <c r="L558">
        <v>428.75</v>
      </c>
      <c r="M558" s="1" t="s">
        <v>50</v>
      </c>
    </row>
    <row r="559" spans="1:13" x14ac:dyDescent="0.3">
      <c r="A559" s="1" t="s">
        <v>1213</v>
      </c>
      <c r="B559" s="2">
        <v>46012</v>
      </c>
      <c r="C559" s="1" t="s">
        <v>288</v>
      </c>
      <c r="D559" s="1" t="s">
        <v>289</v>
      </c>
      <c r="E559" s="1" t="s">
        <v>16</v>
      </c>
      <c r="F559" s="1" t="s">
        <v>17</v>
      </c>
      <c r="G559" s="1" t="s">
        <v>18</v>
      </c>
      <c r="H559" s="1" t="s">
        <v>141</v>
      </c>
      <c r="I559">
        <v>1</v>
      </c>
      <c r="J559">
        <v>1189.79</v>
      </c>
      <c r="K559">
        <v>0.1</v>
      </c>
      <c r="L559">
        <v>306.48</v>
      </c>
      <c r="M559" s="1" t="s">
        <v>50</v>
      </c>
    </row>
    <row r="560" spans="1:13" x14ac:dyDescent="0.3">
      <c r="A560" s="1" t="s">
        <v>1214</v>
      </c>
      <c r="B560" s="2">
        <v>46018</v>
      </c>
      <c r="C560" s="1" t="s">
        <v>1215</v>
      </c>
      <c r="D560" s="1" t="s">
        <v>1216</v>
      </c>
      <c r="E560" s="1" t="s">
        <v>16</v>
      </c>
      <c r="F560" s="1" t="s">
        <v>25</v>
      </c>
      <c r="G560" s="1" t="s">
        <v>32</v>
      </c>
      <c r="H560" s="1" t="s">
        <v>59</v>
      </c>
      <c r="I560">
        <v>6</v>
      </c>
      <c r="J560">
        <v>59696.82</v>
      </c>
      <c r="K560">
        <v>0.15</v>
      </c>
      <c r="L560">
        <v>15791.64</v>
      </c>
      <c r="M560" s="1" t="s">
        <v>39</v>
      </c>
    </row>
    <row r="561" spans="1:13" x14ac:dyDescent="0.3">
      <c r="A561" s="1" t="s">
        <v>1217</v>
      </c>
      <c r="B561" s="2">
        <v>45943</v>
      </c>
      <c r="C561" s="1" t="s">
        <v>1218</v>
      </c>
      <c r="D561" s="1" t="s">
        <v>1219</v>
      </c>
      <c r="E561" s="1" t="s">
        <v>43</v>
      </c>
      <c r="F561" s="1" t="s">
        <v>69</v>
      </c>
      <c r="G561" s="1" t="s">
        <v>44</v>
      </c>
      <c r="H561" s="1" t="s">
        <v>45</v>
      </c>
      <c r="I561">
        <v>6</v>
      </c>
      <c r="J561">
        <v>33450.519999999997</v>
      </c>
      <c r="K561">
        <v>0.2</v>
      </c>
      <c r="L561">
        <v>5783.21</v>
      </c>
      <c r="M561" s="1" t="s">
        <v>28</v>
      </c>
    </row>
    <row r="562" spans="1:13" x14ac:dyDescent="0.3">
      <c r="A562" s="1" t="s">
        <v>1220</v>
      </c>
      <c r="B562" s="2">
        <v>45930</v>
      </c>
      <c r="C562" s="1" t="s">
        <v>504</v>
      </c>
      <c r="D562" s="1" t="s">
        <v>505</v>
      </c>
      <c r="E562" s="1" t="s">
        <v>43</v>
      </c>
      <c r="F562" s="1" t="s">
        <v>25</v>
      </c>
      <c r="G562" s="1" t="s">
        <v>32</v>
      </c>
      <c r="H562" s="1" t="s">
        <v>33</v>
      </c>
      <c r="I562">
        <v>8</v>
      </c>
      <c r="J562">
        <v>125476.38</v>
      </c>
      <c r="K562">
        <v>0.25</v>
      </c>
      <c r="L562">
        <v>26052.15</v>
      </c>
      <c r="M562" s="1" t="s">
        <v>39</v>
      </c>
    </row>
    <row r="563" spans="1:13" x14ac:dyDescent="0.3">
      <c r="A563" s="1" t="s">
        <v>1221</v>
      </c>
      <c r="B563" s="2">
        <v>45719</v>
      </c>
      <c r="C563" s="1" t="s">
        <v>1222</v>
      </c>
      <c r="D563" s="1" t="s">
        <v>1223</v>
      </c>
      <c r="E563" s="1" t="s">
        <v>16</v>
      </c>
      <c r="F563" s="1" t="s">
        <v>69</v>
      </c>
      <c r="G563" s="1" t="s">
        <v>18</v>
      </c>
      <c r="H563" s="1" t="s">
        <v>97</v>
      </c>
      <c r="I563">
        <v>3</v>
      </c>
      <c r="J563">
        <v>7895.71</v>
      </c>
      <c r="K563">
        <v>0.05</v>
      </c>
      <c r="L563">
        <v>2346.65</v>
      </c>
      <c r="M563" s="1" t="s">
        <v>28</v>
      </c>
    </row>
    <row r="564" spans="1:13" x14ac:dyDescent="0.3">
      <c r="A564" s="1" t="s">
        <v>1224</v>
      </c>
      <c r="B564" s="2">
        <v>45741</v>
      </c>
      <c r="C564" s="1" t="s">
        <v>1225</v>
      </c>
      <c r="D564" s="1" t="s">
        <v>1226</v>
      </c>
      <c r="E564" s="1" t="s">
        <v>24</v>
      </c>
      <c r="F564" s="1" t="s">
        <v>17</v>
      </c>
      <c r="G564" s="1" t="s">
        <v>32</v>
      </c>
      <c r="H564" s="1" t="s">
        <v>54</v>
      </c>
      <c r="I564">
        <v>7</v>
      </c>
      <c r="J564">
        <v>93467.839999999997</v>
      </c>
      <c r="K564">
        <v>0.1</v>
      </c>
      <c r="L564">
        <v>17303.37</v>
      </c>
      <c r="M564" s="1" t="s">
        <v>28</v>
      </c>
    </row>
    <row r="565" spans="1:13" x14ac:dyDescent="0.3">
      <c r="A565" s="1" t="s">
        <v>1227</v>
      </c>
      <c r="B565" s="2">
        <v>45874</v>
      </c>
      <c r="C565" s="1" t="s">
        <v>1228</v>
      </c>
      <c r="D565" s="1" t="s">
        <v>1229</v>
      </c>
      <c r="E565" s="1" t="s">
        <v>16</v>
      </c>
      <c r="F565" s="1" t="s">
        <v>25</v>
      </c>
      <c r="G565" s="1" t="s">
        <v>18</v>
      </c>
      <c r="H565" s="1" t="s">
        <v>145</v>
      </c>
      <c r="I565">
        <v>2</v>
      </c>
      <c r="J565">
        <v>3581.9</v>
      </c>
      <c r="K565">
        <v>0.15</v>
      </c>
      <c r="L565">
        <v>1074.3499999999999</v>
      </c>
      <c r="M565" s="1" t="s">
        <v>28</v>
      </c>
    </row>
    <row r="566" spans="1:13" x14ac:dyDescent="0.3">
      <c r="A566" s="1" t="s">
        <v>1230</v>
      </c>
      <c r="B566" s="2">
        <v>45999</v>
      </c>
      <c r="C566" s="1" t="s">
        <v>689</v>
      </c>
      <c r="D566" s="1" t="s">
        <v>690</v>
      </c>
      <c r="E566" s="1" t="s">
        <v>43</v>
      </c>
      <c r="F566" s="1" t="s">
        <v>25</v>
      </c>
      <c r="G566" s="1" t="s">
        <v>26</v>
      </c>
      <c r="H566" s="1" t="s">
        <v>231</v>
      </c>
      <c r="I566">
        <v>8</v>
      </c>
      <c r="J566">
        <v>31028.3</v>
      </c>
      <c r="K566">
        <v>0.15</v>
      </c>
      <c r="L566">
        <v>6727.3</v>
      </c>
      <c r="M566" s="1" t="s">
        <v>55</v>
      </c>
    </row>
    <row r="567" spans="1:13" x14ac:dyDescent="0.3">
      <c r="A567" s="1" t="s">
        <v>1231</v>
      </c>
      <c r="B567" s="2">
        <v>45844</v>
      </c>
      <c r="C567" s="1" t="s">
        <v>1096</v>
      </c>
      <c r="D567" s="1" t="s">
        <v>1097</v>
      </c>
      <c r="E567" s="1" t="s">
        <v>16</v>
      </c>
      <c r="F567" s="1" t="s">
        <v>17</v>
      </c>
      <c r="G567" s="1" t="s">
        <v>18</v>
      </c>
      <c r="H567" s="1" t="s">
        <v>19</v>
      </c>
      <c r="I567">
        <v>3</v>
      </c>
      <c r="J567">
        <v>3241.74</v>
      </c>
      <c r="K567">
        <v>0</v>
      </c>
      <c r="L567">
        <v>806.33</v>
      </c>
      <c r="M567" s="1" t="s">
        <v>28</v>
      </c>
    </row>
    <row r="568" spans="1:13" x14ac:dyDescent="0.3">
      <c r="A568" s="1" t="s">
        <v>1232</v>
      </c>
      <c r="B568" s="2">
        <v>45676</v>
      </c>
      <c r="C568" s="1" t="s">
        <v>1233</v>
      </c>
      <c r="D568" s="1" t="s">
        <v>1234</v>
      </c>
      <c r="E568" s="1" t="s">
        <v>74</v>
      </c>
      <c r="F568" s="1" t="s">
        <v>25</v>
      </c>
      <c r="G568" s="1" t="s">
        <v>44</v>
      </c>
      <c r="H568" s="1" t="s">
        <v>70</v>
      </c>
      <c r="I568">
        <v>4</v>
      </c>
      <c r="J568">
        <v>30727.439999999999</v>
      </c>
      <c r="K568">
        <v>0.05</v>
      </c>
      <c r="L568">
        <v>5138.57</v>
      </c>
      <c r="M568" s="1" t="s">
        <v>28</v>
      </c>
    </row>
    <row r="569" spans="1:13" x14ac:dyDescent="0.3">
      <c r="A569" s="1" t="s">
        <v>1235</v>
      </c>
      <c r="B569" s="2">
        <v>45834</v>
      </c>
      <c r="C569" s="1" t="s">
        <v>214</v>
      </c>
      <c r="D569" s="1" t="s">
        <v>215</v>
      </c>
      <c r="E569" s="1" t="s">
        <v>74</v>
      </c>
      <c r="F569" s="1" t="s">
        <v>17</v>
      </c>
      <c r="G569" s="1" t="s">
        <v>18</v>
      </c>
      <c r="H569" s="1" t="s">
        <v>141</v>
      </c>
      <c r="I569">
        <v>5</v>
      </c>
      <c r="J569">
        <v>6229.63</v>
      </c>
      <c r="K569">
        <v>0</v>
      </c>
      <c r="L569">
        <v>1822.69</v>
      </c>
      <c r="M569" s="1" t="s">
        <v>28</v>
      </c>
    </row>
    <row r="570" spans="1:13" x14ac:dyDescent="0.3">
      <c r="A570" s="1" t="s">
        <v>1236</v>
      </c>
      <c r="B570" s="2">
        <v>45757</v>
      </c>
      <c r="C570" s="1" t="s">
        <v>756</v>
      </c>
      <c r="D570" s="1" t="s">
        <v>757</v>
      </c>
      <c r="E570" s="1" t="s">
        <v>37</v>
      </c>
      <c r="F570" s="1" t="s">
        <v>25</v>
      </c>
      <c r="G570" s="1" t="s">
        <v>26</v>
      </c>
      <c r="H570" s="1" t="s">
        <v>27</v>
      </c>
      <c r="I570">
        <v>4</v>
      </c>
      <c r="J570">
        <v>12921.74</v>
      </c>
      <c r="K570">
        <v>0.1</v>
      </c>
      <c r="L570">
        <v>3518.66</v>
      </c>
      <c r="M570" s="1" t="s">
        <v>55</v>
      </c>
    </row>
    <row r="571" spans="1:13" x14ac:dyDescent="0.3">
      <c r="A571" s="1" t="s">
        <v>1237</v>
      </c>
      <c r="B571" s="2">
        <v>45890</v>
      </c>
      <c r="C571" s="1" t="s">
        <v>1238</v>
      </c>
      <c r="D571" s="1" t="s">
        <v>1239</v>
      </c>
      <c r="E571" s="1" t="s">
        <v>24</v>
      </c>
      <c r="F571" s="1" t="s">
        <v>25</v>
      </c>
      <c r="G571" s="1" t="s">
        <v>18</v>
      </c>
      <c r="H571" s="1" t="s">
        <v>122</v>
      </c>
      <c r="I571">
        <v>6</v>
      </c>
      <c r="J571">
        <v>8692.42</v>
      </c>
      <c r="K571">
        <v>0.05</v>
      </c>
      <c r="L571">
        <v>2125.84</v>
      </c>
      <c r="M571" s="1" t="s">
        <v>50</v>
      </c>
    </row>
    <row r="572" spans="1:13" x14ac:dyDescent="0.3">
      <c r="A572" s="1" t="s">
        <v>1240</v>
      </c>
      <c r="B572" s="2">
        <v>45733</v>
      </c>
      <c r="C572" s="1" t="s">
        <v>438</v>
      </c>
      <c r="D572" s="1" t="s">
        <v>439</v>
      </c>
      <c r="E572" s="1" t="s">
        <v>37</v>
      </c>
      <c r="F572" s="1" t="s">
        <v>17</v>
      </c>
      <c r="G572" s="1" t="s">
        <v>44</v>
      </c>
      <c r="H572" s="1" t="s">
        <v>155</v>
      </c>
      <c r="I572">
        <v>6</v>
      </c>
      <c r="J572">
        <v>38221.86</v>
      </c>
      <c r="K572">
        <v>0.05</v>
      </c>
      <c r="L572">
        <v>8187.86</v>
      </c>
      <c r="M572" s="1" t="s">
        <v>28</v>
      </c>
    </row>
    <row r="573" spans="1:13" x14ac:dyDescent="0.3">
      <c r="A573" s="1" t="s">
        <v>1241</v>
      </c>
      <c r="B573" s="2">
        <v>45922</v>
      </c>
      <c r="C573" s="1" t="s">
        <v>108</v>
      </c>
      <c r="D573" s="1" t="s">
        <v>109</v>
      </c>
      <c r="E573" s="1" t="s">
        <v>43</v>
      </c>
      <c r="F573" s="1" t="s">
        <v>25</v>
      </c>
      <c r="G573" s="1" t="s">
        <v>32</v>
      </c>
      <c r="H573" s="1" t="s">
        <v>38</v>
      </c>
      <c r="I573">
        <v>6</v>
      </c>
      <c r="J573">
        <v>58024.62</v>
      </c>
      <c r="K573">
        <v>0.15</v>
      </c>
      <c r="L573">
        <v>15241.13</v>
      </c>
      <c r="M573" s="1" t="s">
        <v>55</v>
      </c>
    </row>
    <row r="574" spans="1:13" x14ac:dyDescent="0.3">
      <c r="A574" s="1" t="s">
        <v>1242</v>
      </c>
      <c r="B574" s="2">
        <v>45941</v>
      </c>
      <c r="C574" s="1" t="s">
        <v>1047</v>
      </c>
      <c r="D574" s="1" t="s">
        <v>1048</v>
      </c>
      <c r="E574" s="1" t="s">
        <v>74</v>
      </c>
      <c r="F574" s="1" t="s">
        <v>69</v>
      </c>
      <c r="G574" s="1" t="s">
        <v>18</v>
      </c>
      <c r="H574" s="1" t="s">
        <v>122</v>
      </c>
      <c r="I574">
        <v>5</v>
      </c>
      <c r="J574">
        <v>7702.86</v>
      </c>
      <c r="K574">
        <v>0.1</v>
      </c>
      <c r="L574">
        <v>2366.9699999999998</v>
      </c>
      <c r="M574" s="1" t="s">
        <v>20</v>
      </c>
    </row>
    <row r="575" spans="1:13" x14ac:dyDescent="0.3">
      <c r="A575" s="1" t="s">
        <v>1243</v>
      </c>
      <c r="B575" s="2">
        <v>45863</v>
      </c>
      <c r="C575" s="1" t="s">
        <v>169</v>
      </c>
      <c r="D575" s="1" t="s">
        <v>170</v>
      </c>
      <c r="E575" s="1" t="s">
        <v>16</v>
      </c>
      <c r="F575" s="1" t="s">
        <v>69</v>
      </c>
      <c r="G575" s="1" t="s">
        <v>32</v>
      </c>
      <c r="H575" s="1" t="s">
        <v>79</v>
      </c>
      <c r="I575">
        <v>7</v>
      </c>
      <c r="J575">
        <v>89838.75</v>
      </c>
      <c r="K575">
        <v>0</v>
      </c>
      <c r="L575">
        <v>20916.32</v>
      </c>
      <c r="M575" s="1" t="s">
        <v>28</v>
      </c>
    </row>
    <row r="576" spans="1:13" x14ac:dyDescent="0.3">
      <c r="A576" s="1" t="s">
        <v>1244</v>
      </c>
      <c r="B576" s="2">
        <v>45880</v>
      </c>
      <c r="C576" s="1" t="s">
        <v>679</v>
      </c>
      <c r="D576" s="1" t="s">
        <v>680</v>
      </c>
      <c r="E576" s="1" t="s">
        <v>16</v>
      </c>
      <c r="F576" s="1" t="s">
        <v>25</v>
      </c>
      <c r="G576" s="1" t="s">
        <v>26</v>
      </c>
      <c r="H576" s="1" t="s">
        <v>27</v>
      </c>
      <c r="I576">
        <v>5</v>
      </c>
      <c r="J576">
        <v>16782.310000000001</v>
      </c>
      <c r="K576">
        <v>0.05</v>
      </c>
      <c r="L576">
        <v>3992.01</v>
      </c>
      <c r="M576" s="1" t="s">
        <v>20</v>
      </c>
    </row>
    <row r="577" spans="1:13" x14ac:dyDescent="0.3">
      <c r="A577" s="1" t="s">
        <v>1245</v>
      </c>
      <c r="B577" s="2">
        <v>45709</v>
      </c>
      <c r="C577" s="1" t="s">
        <v>786</v>
      </c>
      <c r="D577" s="1" t="s">
        <v>787</v>
      </c>
      <c r="E577" s="1" t="s">
        <v>74</v>
      </c>
      <c r="F577" s="1" t="s">
        <v>17</v>
      </c>
      <c r="G577" s="1" t="s">
        <v>44</v>
      </c>
      <c r="H577" s="1" t="s">
        <v>70</v>
      </c>
      <c r="I577">
        <v>7</v>
      </c>
      <c r="J577">
        <v>38594.22</v>
      </c>
      <c r="K577">
        <v>0.1</v>
      </c>
      <c r="L577">
        <v>7875.19</v>
      </c>
      <c r="M577" s="1" t="s">
        <v>20</v>
      </c>
    </row>
    <row r="578" spans="1:13" x14ac:dyDescent="0.3">
      <c r="A578" s="1" t="s">
        <v>1246</v>
      </c>
      <c r="B578" s="2">
        <v>45996</v>
      </c>
      <c r="C578" s="1" t="s">
        <v>507</v>
      </c>
      <c r="D578" s="1" t="s">
        <v>508</v>
      </c>
      <c r="E578" s="1" t="s">
        <v>16</v>
      </c>
      <c r="F578" s="1" t="s">
        <v>25</v>
      </c>
      <c r="G578" s="1" t="s">
        <v>44</v>
      </c>
      <c r="H578" s="1" t="s">
        <v>45</v>
      </c>
      <c r="I578">
        <v>9</v>
      </c>
      <c r="J578">
        <v>82346.7</v>
      </c>
      <c r="K578">
        <v>0.05</v>
      </c>
      <c r="L578">
        <v>13484.08</v>
      </c>
      <c r="M578" s="1" t="s">
        <v>28</v>
      </c>
    </row>
    <row r="579" spans="1:13" x14ac:dyDescent="0.3">
      <c r="A579" s="1" t="s">
        <v>1247</v>
      </c>
      <c r="B579" s="2">
        <v>45801</v>
      </c>
      <c r="C579" s="1" t="s">
        <v>1248</v>
      </c>
      <c r="D579" s="1" t="s">
        <v>1249</v>
      </c>
      <c r="E579" s="1" t="s">
        <v>74</v>
      </c>
      <c r="F579" s="1" t="s">
        <v>69</v>
      </c>
      <c r="G579" s="1" t="s">
        <v>18</v>
      </c>
      <c r="H579" s="1" t="s">
        <v>19</v>
      </c>
      <c r="I579">
        <v>1</v>
      </c>
      <c r="J579">
        <v>2321.17</v>
      </c>
      <c r="K579">
        <v>0.1</v>
      </c>
      <c r="L579">
        <v>654.5</v>
      </c>
      <c r="M579" s="1" t="s">
        <v>28</v>
      </c>
    </row>
    <row r="580" spans="1:13" x14ac:dyDescent="0.3">
      <c r="A580" s="1" t="s">
        <v>1250</v>
      </c>
      <c r="B580" s="2">
        <v>45726</v>
      </c>
      <c r="C580" s="1" t="s">
        <v>1099</v>
      </c>
      <c r="D580" s="1" t="s">
        <v>1100</v>
      </c>
      <c r="E580" s="1" t="s">
        <v>37</v>
      </c>
      <c r="F580" s="1" t="s">
        <v>17</v>
      </c>
      <c r="G580" s="1" t="s">
        <v>18</v>
      </c>
      <c r="H580" s="1" t="s">
        <v>97</v>
      </c>
      <c r="I580">
        <v>8</v>
      </c>
      <c r="J580">
        <v>16698.39</v>
      </c>
      <c r="K580">
        <v>0.2</v>
      </c>
      <c r="L580">
        <v>4960.87</v>
      </c>
      <c r="M580" s="1" t="s">
        <v>50</v>
      </c>
    </row>
    <row r="581" spans="1:13" x14ac:dyDescent="0.3">
      <c r="A581" s="1" t="s">
        <v>1251</v>
      </c>
      <c r="B581" s="2">
        <v>45756</v>
      </c>
      <c r="C581" s="1" t="s">
        <v>309</v>
      </c>
      <c r="D581" s="1" t="s">
        <v>310</v>
      </c>
      <c r="E581" s="1" t="s">
        <v>74</v>
      </c>
      <c r="F581" s="1" t="s">
        <v>17</v>
      </c>
      <c r="G581" s="1" t="s">
        <v>18</v>
      </c>
      <c r="H581" s="1" t="s">
        <v>97</v>
      </c>
      <c r="I581">
        <v>6</v>
      </c>
      <c r="J581">
        <v>7901.85</v>
      </c>
      <c r="K581">
        <v>0.2</v>
      </c>
      <c r="L581">
        <v>1971.47</v>
      </c>
      <c r="M581" s="1" t="s">
        <v>20</v>
      </c>
    </row>
    <row r="582" spans="1:13" x14ac:dyDescent="0.3">
      <c r="A582" s="1" t="s">
        <v>1252</v>
      </c>
      <c r="B582" s="2">
        <v>45682</v>
      </c>
      <c r="C582" s="1" t="s">
        <v>1031</v>
      </c>
      <c r="D582" s="1" t="s">
        <v>1032</v>
      </c>
      <c r="E582" s="1" t="s">
        <v>24</v>
      </c>
      <c r="F582" s="1" t="s">
        <v>69</v>
      </c>
      <c r="G582" s="1" t="s">
        <v>18</v>
      </c>
      <c r="H582" s="1" t="s">
        <v>19</v>
      </c>
      <c r="I582">
        <v>8</v>
      </c>
      <c r="J582">
        <v>9959.2900000000009</v>
      </c>
      <c r="K582">
        <v>0</v>
      </c>
      <c r="L582">
        <v>2823.92</v>
      </c>
      <c r="M582" s="1" t="s">
        <v>28</v>
      </c>
    </row>
    <row r="583" spans="1:13" x14ac:dyDescent="0.3">
      <c r="A583" s="1" t="s">
        <v>1253</v>
      </c>
      <c r="B583" s="2">
        <v>45710</v>
      </c>
      <c r="C583" s="1" t="s">
        <v>488</v>
      </c>
      <c r="D583" s="1" t="s">
        <v>489</v>
      </c>
      <c r="E583" s="1" t="s">
        <v>74</v>
      </c>
      <c r="F583" s="1" t="s">
        <v>17</v>
      </c>
      <c r="G583" s="1" t="s">
        <v>18</v>
      </c>
      <c r="H583" s="1" t="s">
        <v>19</v>
      </c>
      <c r="I583">
        <v>6</v>
      </c>
      <c r="J583">
        <v>12252.37</v>
      </c>
      <c r="K583">
        <v>0.2</v>
      </c>
      <c r="L583">
        <v>3247.11</v>
      </c>
      <c r="M583" s="1" t="s">
        <v>28</v>
      </c>
    </row>
    <row r="584" spans="1:13" x14ac:dyDescent="0.3">
      <c r="A584" s="1" t="s">
        <v>1254</v>
      </c>
      <c r="B584" s="2">
        <v>45808</v>
      </c>
      <c r="C584" s="1" t="s">
        <v>1255</v>
      </c>
      <c r="D584" s="1" t="s">
        <v>1256</v>
      </c>
      <c r="E584" s="1" t="s">
        <v>37</v>
      </c>
      <c r="F584" s="1" t="s">
        <v>25</v>
      </c>
      <c r="G584" s="1" t="s">
        <v>44</v>
      </c>
      <c r="H584" s="1" t="s">
        <v>70</v>
      </c>
      <c r="I584">
        <v>3</v>
      </c>
      <c r="J584">
        <v>34060.879999999997</v>
      </c>
      <c r="K584">
        <v>0.1</v>
      </c>
      <c r="L584">
        <v>5937.24</v>
      </c>
      <c r="M584" s="1" t="s">
        <v>55</v>
      </c>
    </row>
    <row r="585" spans="1:13" x14ac:dyDescent="0.3">
      <c r="A585" s="1" t="s">
        <v>1257</v>
      </c>
      <c r="B585" s="2">
        <v>45801</v>
      </c>
      <c r="C585" s="1" t="s">
        <v>1258</v>
      </c>
      <c r="D585" s="1" t="s">
        <v>1259</v>
      </c>
      <c r="E585" s="1" t="s">
        <v>16</v>
      </c>
      <c r="F585" s="1" t="s">
        <v>25</v>
      </c>
      <c r="G585" s="1" t="s">
        <v>18</v>
      </c>
      <c r="H585" s="1" t="s">
        <v>122</v>
      </c>
      <c r="I585">
        <v>6</v>
      </c>
      <c r="J585">
        <v>8407.4500000000007</v>
      </c>
      <c r="K585">
        <v>0.05</v>
      </c>
      <c r="L585">
        <v>2718.48</v>
      </c>
      <c r="M585" s="1" t="s">
        <v>50</v>
      </c>
    </row>
    <row r="586" spans="1:13" x14ac:dyDescent="0.3">
      <c r="A586" s="1" t="s">
        <v>1260</v>
      </c>
      <c r="B586" s="2">
        <v>45714</v>
      </c>
      <c r="C586" s="1" t="s">
        <v>1261</v>
      </c>
      <c r="D586" s="1" t="s">
        <v>1262</v>
      </c>
      <c r="E586" s="1" t="s">
        <v>37</v>
      </c>
      <c r="F586" s="1" t="s">
        <v>25</v>
      </c>
      <c r="G586" s="1" t="s">
        <v>18</v>
      </c>
      <c r="H586" s="1" t="s">
        <v>145</v>
      </c>
      <c r="I586">
        <v>9</v>
      </c>
      <c r="J586">
        <v>14741.88</v>
      </c>
      <c r="K586">
        <v>0</v>
      </c>
      <c r="L586">
        <v>4019.07</v>
      </c>
      <c r="M586" s="1" t="s">
        <v>55</v>
      </c>
    </row>
    <row r="587" spans="1:13" x14ac:dyDescent="0.3">
      <c r="A587" s="1" t="s">
        <v>1263</v>
      </c>
      <c r="B587" s="2">
        <v>45696</v>
      </c>
      <c r="C587" s="1" t="s">
        <v>1072</v>
      </c>
      <c r="D587" s="1" t="s">
        <v>1073</v>
      </c>
      <c r="E587" s="1" t="s">
        <v>43</v>
      </c>
      <c r="F587" s="1" t="s">
        <v>69</v>
      </c>
      <c r="G587" s="1" t="s">
        <v>44</v>
      </c>
      <c r="H587" s="1" t="s">
        <v>90</v>
      </c>
      <c r="I587">
        <v>9</v>
      </c>
      <c r="J587">
        <v>50497.54</v>
      </c>
      <c r="K587">
        <v>0.25</v>
      </c>
      <c r="L587">
        <v>8515.74</v>
      </c>
      <c r="M587" s="1" t="s">
        <v>28</v>
      </c>
    </row>
    <row r="588" spans="1:13" x14ac:dyDescent="0.3">
      <c r="A588" s="1" t="s">
        <v>1264</v>
      </c>
      <c r="B588" s="2">
        <v>45766</v>
      </c>
      <c r="C588" s="1" t="s">
        <v>1265</v>
      </c>
      <c r="D588" s="1" t="s">
        <v>1266</v>
      </c>
      <c r="E588" s="1" t="s">
        <v>74</v>
      </c>
      <c r="F588" s="1" t="s">
        <v>69</v>
      </c>
      <c r="G588" s="1" t="s">
        <v>18</v>
      </c>
      <c r="H588" s="1" t="s">
        <v>141</v>
      </c>
      <c r="I588">
        <v>8</v>
      </c>
      <c r="J588">
        <v>8019.89</v>
      </c>
      <c r="K588">
        <v>0.15</v>
      </c>
      <c r="L588">
        <v>2354.1799999999998</v>
      </c>
      <c r="M588" s="1" t="s">
        <v>20</v>
      </c>
    </row>
    <row r="589" spans="1:13" x14ac:dyDescent="0.3">
      <c r="A589" s="1" t="s">
        <v>1267</v>
      </c>
      <c r="B589" s="2">
        <v>45838</v>
      </c>
      <c r="C589" s="1" t="s">
        <v>689</v>
      </c>
      <c r="D589" s="1" t="s">
        <v>690</v>
      </c>
      <c r="E589" s="1" t="s">
        <v>43</v>
      </c>
      <c r="F589" s="1" t="s">
        <v>69</v>
      </c>
      <c r="G589" s="1" t="s">
        <v>26</v>
      </c>
      <c r="H589" s="1" t="s">
        <v>244</v>
      </c>
      <c r="I589">
        <v>7</v>
      </c>
      <c r="J589">
        <v>23927.81</v>
      </c>
      <c r="K589">
        <v>0</v>
      </c>
      <c r="L589">
        <v>6147.6</v>
      </c>
      <c r="M589" s="1" t="s">
        <v>39</v>
      </c>
    </row>
    <row r="590" spans="1:13" x14ac:dyDescent="0.3">
      <c r="A590" s="1" t="s">
        <v>1268</v>
      </c>
      <c r="B590" s="2">
        <v>45699</v>
      </c>
      <c r="C590" s="1" t="s">
        <v>1269</v>
      </c>
      <c r="D590" s="1" t="s">
        <v>1270</v>
      </c>
      <c r="E590" s="1" t="s">
        <v>74</v>
      </c>
      <c r="F590" s="1" t="s">
        <v>17</v>
      </c>
      <c r="G590" s="1" t="s">
        <v>26</v>
      </c>
      <c r="H590" s="1" t="s">
        <v>49</v>
      </c>
      <c r="I590">
        <v>7</v>
      </c>
      <c r="J590">
        <v>13602.32</v>
      </c>
      <c r="K590">
        <v>0.2</v>
      </c>
      <c r="L590">
        <v>3952.86</v>
      </c>
      <c r="M590" s="1" t="s">
        <v>55</v>
      </c>
    </row>
    <row r="591" spans="1:13" x14ac:dyDescent="0.3">
      <c r="A591" s="1" t="s">
        <v>1271</v>
      </c>
      <c r="B591" s="2">
        <v>45843</v>
      </c>
      <c r="C591" s="1" t="s">
        <v>410</v>
      </c>
      <c r="D591" s="1" t="s">
        <v>411</v>
      </c>
      <c r="E591" s="1" t="s">
        <v>24</v>
      </c>
      <c r="F591" s="1" t="s">
        <v>69</v>
      </c>
      <c r="G591" s="1" t="s">
        <v>44</v>
      </c>
      <c r="H591" s="1" t="s">
        <v>155</v>
      </c>
      <c r="I591">
        <v>4</v>
      </c>
      <c r="J591">
        <v>47349.7</v>
      </c>
      <c r="K591">
        <v>0.15</v>
      </c>
      <c r="L591">
        <v>7067.85</v>
      </c>
      <c r="M591" s="1" t="s">
        <v>50</v>
      </c>
    </row>
    <row r="592" spans="1:13" x14ac:dyDescent="0.3">
      <c r="A592" s="1" t="s">
        <v>1272</v>
      </c>
      <c r="B592" s="2">
        <v>45880</v>
      </c>
      <c r="C592" s="1" t="s">
        <v>564</v>
      </c>
      <c r="D592" s="1" t="s">
        <v>565</v>
      </c>
      <c r="E592" s="1" t="s">
        <v>74</v>
      </c>
      <c r="F592" s="1" t="s">
        <v>69</v>
      </c>
      <c r="G592" s="1" t="s">
        <v>44</v>
      </c>
      <c r="H592" s="1" t="s">
        <v>90</v>
      </c>
      <c r="I592">
        <v>5</v>
      </c>
      <c r="J592">
        <v>57678.85</v>
      </c>
      <c r="K592">
        <v>0.2</v>
      </c>
      <c r="L592">
        <v>10962.07</v>
      </c>
      <c r="M592" s="1" t="s">
        <v>55</v>
      </c>
    </row>
    <row r="593" spans="1:13" x14ac:dyDescent="0.3">
      <c r="A593" s="1" t="s">
        <v>1273</v>
      </c>
      <c r="B593" s="2">
        <v>45779</v>
      </c>
      <c r="C593" s="1" t="s">
        <v>621</v>
      </c>
      <c r="D593" s="1" t="s">
        <v>622</v>
      </c>
      <c r="E593" s="1" t="s">
        <v>37</v>
      </c>
      <c r="F593" s="1" t="s">
        <v>25</v>
      </c>
      <c r="G593" s="1" t="s">
        <v>32</v>
      </c>
      <c r="H593" s="1" t="s">
        <v>54</v>
      </c>
      <c r="I593">
        <v>7</v>
      </c>
      <c r="J593">
        <v>69119.59</v>
      </c>
      <c r="K593">
        <v>0.15</v>
      </c>
      <c r="L593">
        <v>12359.57</v>
      </c>
      <c r="M593" s="1" t="s">
        <v>55</v>
      </c>
    </row>
    <row r="594" spans="1:13" x14ac:dyDescent="0.3">
      <c r="A594" s="1" t="s">
        <v>1274</v>
      </c>
      <c r="B594" s="2">
        <v>45790</v>
      </c>
      <c r="C594" s="1" t="s">
        <v>943</v>
      </c>
      <c r="D594" s="1" t="s">
        <v>944</v>
      </c>
      <c r="E594" s="1" t="s">
        <v>37</v>
      </c>
      <c r="F594" s="1" t="s">
        <v>25</v>
      </c>
      <c r="G594" s="1" t="s">
        <v>44</v>
      </c>
      <c r="H594" s="1" t="s">
        <v>90</v>
      </c>
      <c r="I594">
        <v>8</v>
      </c>
      <c r="J594">
        <v>60228.67</v>
      </c>
      <c r="K594">
        <v>0.2</v>
      </c>
      <c r="L594">
        <v>11950.63</v>
      </c>
      <c r="M594" s="1" t="s">
        <v>20</v>
      </c>
    </row>
    <row r="595" spans="1:13" x14ac:dyDescent="0.3">
      <c r="A595" s="1" t="s">
        <v>1275</v>
      </c>
      <c r="B595" s="2">
        <v>45820</v>
      </c>
      <c r="C595" s="1" t="s">
        <v>859</v>
      </c>
      <c r="D595" s="1" t="s">
        <v>860</v>
      </c>
      <c r="E595" s="1" t="s">
        <v>37</v>
      </c>
      <c r="F595" s="1" t="s">
        <v>25</v>
      </c>
      <c r="G595" s="1" t="s">
        <v>32</v>
      </c>
      <c r="H595" s="1" t="s">
        <v>38</v>
      </c>
      <c r="I595">
        <v>8</v>
      </c>
      <c r="J595">
        <v>88610.64</v>
      </c>
      <c r="K595">
        <v>0.1</v>
      </c>
      <c r="L595">
        <v>19601.46</v>
      </c>
      <c r="M595" s="1" t="s">
        <v>39</v>
      </c>
    </row>
    <row r="596" spans="1:13" x14ac:dyDescent="0.3">
      <c r="A596" s="1" t="s">
        <v>1276</v>
      </c>
      <c r="B596" s="2">
        <v>45872</v>
      </c>
      <c r="C596" s="1" t="s">
        <v>567</v>
      </c>
      <c r="D596" s="1" t="s">
        <v>568</v>
      </c>
      <c r="E596" s="1" t="s">
        <v>24</v>
      </c>
      <c r="F596" s="1" t="s">
        <v>25</v>
      </c>
      <c r="G596" s="1" t="s">
        <v>32</v>
      </c>
      <c r="H596" s="1" t="s">
        <v>38</v>
      </c>
      <c r="I596">
        <v>7</v>
      </c>
      <c r="J596">
        <v>85976.85</v>
      </c>
      <c r="K596">
        <v>0.1</v>
      </c>
      <c r="L596">
        <v>22486.52</v>
      </c>
      <c r="M596" s="1" t="s">
        <v>20</v>
      </c>
    </row>
    <row r="597" spans="1:13" x14ac:dyDescent="0.3">
      <c r="A597" s="1" t="s">
        <v>1277</v>
      </c>
      <c r="B597" s="2">
        <v>45878</v>
      </c>
      <c r="C597" s="1" t="s">
        <v>1021</v>
      </c>
      <c r="D597" s="1" t="s">
        <v>1022</v>
      </c>
      <c r="E597" s="1" t="s">
        <v>37</v>
      </c>
      <c r="F597" s="1" t="s">
        <v>25</v>
      </c>
      <c r="G597" s="1" t="s">
        <v>18</v>
      </c>
      <c r="H597" s="1" t="s">
        <v>97</v>
      </c>
      <c r="I597">
        <v>2</v>
      </c>
      <c r="J597">
        <v>2631.77</v>
      </c>
      <c r="K597">
        <v>0.1</v>
      </c>
      <c r="L597">
        <v>646.6</v>
      </c>
      <c r="M597" s="1" t="s">
        <v>39</v>
      </c>
    </row>
    <row r="598" spans="1:13" x14ac:dyDescent="0.3">
      <c r="A598" s="1" t="s">
        <v>1278</v>
      </c>
      <c r="B598" s="2">
        <v>45892</v>
      </c>
      <c r="C598" s="1" t="s">
        <v>936</v>
      </c>
      <c r="D598" s="1" t="s">
        <v>937</v>
      </c>
      <c r="E598" s="1" t="s">
        <v>37</v>
      </c>
      <c r="F598" s="1" t="s">
        <v>69</v>
      </c>
      <c r="G598" s="1" t="s">
        <v>44</v>
      </c>
      <c r="H598" s="1" t="s">
        <v>155</v>
      </c>
      <c r="I598">
        <v>10</v>
      </c>
      <c r="J598">
        <v>122404.82</v>
      </c>
      <c r="K598">
        <v>0.1</v>
      </c>
      <c r="L598">
        <v>25394.75</v>
      </c>
      <c r="M598" s="1" t="s">
        <v>50</v>
      </c>
    </row>
    <row r="599" spans="1:13" x14ac:dyDescent="0.3">
      <c r="A599" s="1" t="s">
        <v>1279</v>
      </c>
      <c r="B599" s="2">
        <v>45988</v>
      </c>
      <c r="C599" s="1" t="s">
        <v>980</v>
      </c>
      <c r="D599" s="1" t="s">
        <v>981</v>
      </c>
      <c r="E599" s="1" t="s">
        <v>37</v>
      </c>
      <c r="F599" s="1" t="s">
        <v>25</v>
      </c>
      <c r="G599" s="1" t="s">
        <v>18</v>
      </c>
      <c r="H599" s="1" t="s">
        <v>141</v>
      </c>
      <c r="I599">
        <v>4</v>
      </c>
      <c r="J599">
        <v>3564.82</v>
      </c>
      <c r="K599">
        <v>0.15</v>
      </c>
      <c r="L599">
        <v>1012.12</v>
      </c>
      <c r="M599" s="1" t="s">
        <v>39</v>
      </c>
    </row>
    <row r="600" spans="1:13" x14ac:dyDescent="0.3">
      <c r="A600" s="1" t="s">
        <v>1280</v>
      </c>
      <c r="B600" s="2">
        <v>45803</v>
      </c>
      <c r="C600" s="1" t="s">
        <v>988</v>
      </c>
      <c r="D600" s="1" t="s">
        <v>989</v>
      </c>
      <c r="E600" s="1" t="s">
        <v>43</v>
      </c>
      <c r="F600" s="1" t="s">
        <v>69</v>
      </c>
      <c r="G600" s="1" t="s">
        <v>18</v>
      </c>
      <c r="H600" s="1" t="s">
        <v>19</v>
      </c>
      <c r="I600">
        <v>7</v>
      </c>
      <c r="J600">
        <v>8122.98</v>
      </c>
      <c r="K600">
        <v>0</v>
      </c>
      <c r="L600">
        <v>2273.7600000000002</v>
      </c>
      <c r="M600" s="1" t="s">
        <v>50</v>
      </c>
    </row>
    <row r="601" spans="1:13" x14ac:dyDescent="0.3">
      <c r="A601" s="1" t="s">
        <v>1281</v>
      </c>
      <c r="B601" s="2">
        <v>45896</v>
      </c>
      <c r="C601" s="1" t="s">
        <v>1282</v>
      </c>
      <c r="D601" s="1" t="s">
        <v>1283</v>
      </c>
      <c r="E601" s="1" t="s">
        <v>16</v>
      </c>
      <c r="F601" s="1" t="s">
        <v>25</v>
      </c>
      <c r="G601" s="1" t="s">
        <v>32</v>
      </c>
      <c r="H601" s="1" t="s">
        <v>59</v>
      </c>
      <c r="I601">
        <v>2</v>
      </c>
      <c r="J601">
        <v>36459.15</v>
      </c>
      <c r="K601">
        <v>0.15</v>
      </c>
      <c r="L601">
        <v>9418.1</v>
      </c>
      <c r="M601" s="1" t="s">
        <v>39</v>
      </c>
    </row>
    <row r="602" spans="1:13" x14ac:dyDescent="0.3">
      <c r="A602" s="1" t="s">
        <v>1284</v>
      </c>
      <c r="B602" s="2">
        <v>45733</v>
      </c>
      <c r="C602" s="1" t="s">
        <v>904</v>
      </c>
      <c r="D602" s="1" t="s">
        <v>905</v>
      </c>
      <c r="E602" s="1" t="s">
        <v>37</v>
      </c>
      <c r="F602" s="1" t="s">
        <v>25</v>
      </c>
      <c r="G602" s="1" t="s">
        <v>18</v>
      </c>
      <c r="H602" s="1" t="s">
        <v>97</v>
      </c>
      <c r="I602">
        <v>1</v>
      </c>
      <c r="J602">
        <v>2014.02</v>
      </c>
      <c r="K602">
        <v>0.15</v>
      </c>
      <c r="L602">
        <v>629.16</v>
      </c>
      <c r="M602" s="1" t="s">
        <v>50</v>
      </c>
    </row>
    <row r="603" spans="1:13" x14ac:dyDescent="0.3">
      <c r="A603" s="1" t="s">
        <v>1285</v>
      </c>
      <c r="B603" s="2">
        <v>45666</v>
      </c>
      <c r="C603" s="1" t="s">
        <v>1158</v>
      </c>
      <c r="D603" s="1" t="s">
        <v>1159</v>
      </c>
      <c r="E603" s="1" t="s">
        <v>16</v>
      </c>
      <c r="F603" s="1" t="s">
        <v>69</v>
      </c>
      <c r="G603" s="1" t="s">
        <v>26</v>
      </c>
      <c r="H603" s="1" t="s">
        <v>27</v>
      </c>
      <c r="I603">
        <v>5</v>
      </c>
      <c r="J603">
        <v>17374.86</v>
      </c>
      <c r="K603">
        <v>0.15</v>
      </c>
      <c r="L603">
        <v>4100.1000000000004</v>
      </c>
      <c r="M603" s="1" t="s">
        <v>55</v>
      </c>
    </row>
    <row r="604" spans="1:13" x14ac:dyDescent="0.3">
      <c r="A604" s="1" t="s">
        <v>1286</v>
      </c>
      <c r="B604" s="2">
        <v>45731</v>
      </c>
      <c r="C604" s="1" t="s">
        <v>1287</v>
      </c>
      <c r="D604" s="1" t="s">
        <v>1288</v>
      </c>
      <c r="E604" s="1" t="s">
        <v>24</v>
      </c>
      <c r="F604" s="1" t="s">
        <v>25</v>
      </c>
      <c r="G604" s="1" t="s">
        <v>26</v>
      </c>
      <c r="H604" s="1" t="s">
        <v>27</v>
      </c>
      <c r="I604">
        <v>1</v>
      </c>
      <c r="J604">
        <v>3507.53</v>
      </c>
      <c r="K604">
        <v>0.05</v>
      </c>
      <c r="L604">
        <v>845.6</v>
      </c>
      <c r="M604" s="1" t="s">
        <v>28</v>
      </c>
    </row>
    <row r="605" spans="1:13" x14ac:dyDescent="0.3">
      <c r="A605" s="1" t="s">
        <v>1289</v>
      </c>
      <c r="B605" s="2">
        <v>45910</v>
      </c>
      <c r="C605" s="1" t="s">
        <v>276</v>
      </c>
      <c r="D605" s="1" t="s">
        <v>277</v>
      </c>
      <c r="E605" s="1" t="s">
        <v>24</v>
      </c>
      <c r="F605" s="1" t="s">
        <v>25</v>
      </c>
      <c r="G605" s="1" t="s">
        <v>26</v>
      </c>
      <c r="H605" s="1" t="s">
        <v>244</v>
      </c>
      <c r="I605">
        <v>7</v>
      </c>
      <c r="J605">
        <v>14694.68</v>
      </c>
      <c r="K605">
        <v>0.15</v>
      </c>
      <c r="L605">
        <v>3234.56</v>
      </c>
      <c r="M605" s="1" t="s">
        <v>28</v>
      </c>
    </row>
    <row r="606" spans="1:13" x14ac:dyDescent="0.3">
      <c r="A606" s="1" t="s">
        <v>1290</v>
      </c>
      <c r="B606" s="2">
        <v>45887</v>
      </c>
      <c r="C606" s="1" t="s">
        <v>536</v>
      </c>
      <c r="D606" s="1" t="s">
        <v>537</v>
      </c>
      <c r="E606" s="1" t="s">
        <v>16</v>
      </c>
      <c r="F606" s="1" t="s">
        <v>25</v>
      </c>
      <c r="G606" s="1" t="s">
        <v>18</v>
      </c>
      <c r="H606" s="1" t="s">
        <v>19</v>
      </c>
      <c r="I606">
        <v>4</v>
      </c>
      <c r="J606">
        <v>7589.78</v>
      </c>
      <c r="K606">
        <v>0.05</v>
      </c>
      <c r="L606">
        <v>2010.43</v>
      </c>
      <c r="M606" s="1" t="s">
        <v>39</v>
      </c>
    </row>
    <row r="607" spans="1:13" x14ac:dyDescent="0.3">
      <c r="A607" s="1" t="s">
        <v>1291</v>
      </c>
      <c r="B607" s="2">
        <v>45664</v>
      </c>
      <c r="C607" s="1" t="s">
        <v>1292</v>
      </c>
      <c r="D607" s="1" t="s">
        <v>1293</v>
      </c>
      <c r="E607" s="1" t="s">
        <v>37</v>
      </c>
      <c r="F607" s="1" t="s">
        <v>25</v>
      </c>
      <c r="G607" s="1" t="s">
        <v>32</v>
      </c>
      <c r="H607" s="1" t="s">
        <v>33</v>
      </c>
      <c r="I607">
        <v>2</v>
      </c>
      <c r="J607">
        <v>19137.330000000002</v>
      </c>
      <c r="K607">
        <v>0.1</v>
      </c>
      <c r="L607">
        <v>4664.1899999999996</v>
      </c>
      <c r="M607" s="1" t="s">
        <v>50</v>
      </c>
    </row>
    <row r="608" spans="1:13" x14ac:dyDescent="0.3">
      <c r="A608" s="1" t="s">
        <v>1294</v>
      </c>
      <c r="B608" s="2">
        <v>45831</v>
      </c>
      <c r="C608" s="1" t="s">
        <v>859</v>
      </c>
      <c r="D608" s="1" t="s">
        <v>860</v>
      </c>
      <c r="E608" s="1" t="s">
        <v>74</v>
      </c>
      <c r="F608" s="1" t="s">
        <v>69</v>
      </c>
      <c r="G608" s="1" t="s">
        <v>18</v>
      </c>
      <c r="H608" s="1" t="s">
        <v>145</v>
      </c>
      <c r="I608">
        <v>1</v>
      </c>
      <c r="J608">
        <v>1958.05</v>
      </c>
      <c r="K608">
        <v>0.15</v>
      </c>
      <c r="L608">
        <v>466.02</v>
      </c>
      <c r="M608" s="1" t="s">
        <v>55</v>
      </c>
    </row>
    <row r="609" spans="1:13" x14ac:dyDescent="0.3">
      <c r="A609" s="1" t="s">
        <v>1295</v>
      </c>
      <c r="B609" s="2">
        <v>45798</v>
      </c>
      <c r="C609" s="1" t="s">
        <v>1296</v>
      </c>
      <c r="D609" s="1" t="s">
        <v>1297</v>
      </c>
      <c r="E609" s="1" t="s">
        <v>74</v>
      </c>
      <c r="F609" s="1" t="s">
        <v>17</v>
      </c>
      <c r="G609" s="1" t="s">
        <v>26</v>
      </c>
      <c r="H609" s="1" t="s">
        <v>49</v>
      </c>
      <c r="I609">
        <v>10</v>
      </c>
      <c r="J609">
        <v>19012.53</v>
      </c>
      <c r="K609">
        <v>0.05</v>
      </c>
      <c r="L609">
        <v>5075.04</v>
      </c>
      <c r="M609" s="1" t="s">
        <v>20</v>
      </c>
    </row>
    <row r="610" spans="1:13" x14ac:dyDescent="0.3">
      <c r="A610" s="1" t="s">
        <v>1298</v>
      </c>
      <c r="B610" s="2">
        <v>45825</v>
      </c>
      <c r="C610" s="1" t="s">
        <v>833</v>
      </c>
      <c r="D610" s="1" t="s">
        <v>834</v>
      </c>
      <c r="E610" s="1" t="s">
        <v>24</v>
      </c>
      <c r="F610" s="1" t="s">
        <v>25</v>
      </c>
      <c r="G610" s="1" t="s">
        <v>18</v>
      </c>
      <c r="H610" s="1" t="s">
        <v>19</v>
      </c>
      <c r="I610">
        <v>9</v>
      </c>
      <c r="J610">
        <v>23351.68</v>
      </c>
      <c r="K610">
        <v>0.05</v>
      </c>
      <c r="L610">
        <v>6526.39</v>
      </c>
      <c r="M610" s="1" t="s">
        <v>28</v>
      </c>
    </row>
    <row r="611" spans="1:13" x14ac:dyDescent="0.3">
      <c r="A611" s="1" t="s">
        <v>1299</v>
      </c>
      <c r="B611" s="2">
        <v>45827</v>
      </c>
      <c r="C611" s="1" t="s">
        <v>102</v>
      </c>
      <c r="D611" s="1" t="s">
        <v>103</v>
      </c>
      <c r="E611" s="1" t="s">
        <v>16</v>
      </c>
      <c r="F611" s="1" t="s">
        <v>25</v>
      </c>
      <c r="G611" s="1" t="s">
        <v>18</v>
      </c>
      <c r="H611" s="1" t="s">
        <v>19</v>
      </c>
      <c r="I611">
        <v>1</v>
      </c>
      <c r="J611">
        <v>1405.01</v>
      </c>
      <c r="K611">
        <v>0.1</v>
      </c>
      <c r="L611">
        <v>364.54</v>
      </c>
      <c r="M611" s="1" t="s">
        <v>28</v>
      </c>
    </row>
    <row r="612" spans="1:13" x14ac:dyDescent="0.3">
      <c r="A612" s="1" t="s">
        <v>1300</v>
      </c>
      <c r="B612" s="2">
        <v>45940</v>
      </c>
      <c r="C612" s="1" t="s">
        <v>1301</v>
      </c>
      <c r="D612" s="1" t="s">
        <v>1302</v>
      </c>
      <c r="E612" s="1" t="s">
        <v>74</v>
      </c>
      <c r="F612" s="1" t="s">
        <v>69</v>
      </c>
      <c r="G612" s="1" t="s">
        <v>32</v>
      </c>
      <c r="H612" s="1" t="s">
        <v>54</v>
      </c>
      <c r="I612">
        <v>10</v>
      </c>
      <c r="J612">
        <v>99559.1</v>
      </c>
      <c r="K612">
        <v>0.1</v>
      </c>
      <c r="L612">
        <v>18755.07</v>
      </c>
      <c r="M612" s="1" t="s">
        <v>50</v>
      </c>
    </row>
    <row r="613" spans="1:13" x14ac:dyDescent="0.3">
      <c r="A613" s="1" t="s">
        <v>1303</v>
      </c>
      <c r="B613" s="2">
        <v>45779</v>
      </c>
      <c r="C613" s="1" t="s">
        <v>756</v>
      </c>
      <c r="D613" s="1" t="s">
        <v>757</v>
      </c>
      <c r="E613" s="1" t="s">
        <v>74</v>
      </c>
      <c r="F613" s="1" t="s">
        <v>69</v>
      </c>
      <c r="G613" s="1" t="s">
        <v>32</v>
      </c>
      <c r="H613" s="1" t="s">
        <v>38</v>
      </c>
      <c r="I613">
        <v>6</v>
      </c>
      <c r="J613">
        <v>70796.570000000007</v>
      </c>
      <c r="K613">
        <v>0.1</v>
      </c>
      <c r="L613">
        <v>16014.97</v>
      </c>
      <c r="M613" s="1" t="s">
        <v>28</v>
      </c>
    </row>
    <row r="614" spans="1:13" x14ac:dyDescent="0.3">
      <c r="A614" s="1" t="s">
        <v>1304</v>
      </c>
      <c r="B614" s="2">
        <v>45851</v>
      </c>
      <c r="C614" s="1" t="s">
        <v>303</v>
      </c>
      <c r="D614" s="1" t="s">
        <v>304</v>
      </c>
      <c r="E614" s="1" t="s">
        <v>16</v>
      </c>
      <c r="F614" s="1" t="s">
        <v>25</v>
      </c>
      <c r="G614" s="1" t="s">
        <v>32</v>
      </c>
      <c r="H614" s="1" t="s">
        <v>38</v>
      </c>
      <c r="I614">
        <v>8</v>
      </c>
      <c r="J614">
        <v>100255.36</v>
      </c>
      <c r="K614">
        <v>0.2</v>
      </c>
      <c r="L614">
        <v>26486.52</v>
      </c>
      <c r="M614" s="1" t="s">
        <v>50</v>
      </c>
    </row>
    <row r="615" spans="1:13" x14ac:dyDescent="0.3">
      <c r="A615" s="1" t="s">
        <v>1305</v>
      </c>
      <c r="B615" s="2">
        <v>45662</v>
      </c>
      <c r="C615" s="1" t="s">
        <v>220</v>
      </c>
      <c r="D615" s="1" t="s">
        <v>221</v>
      </c>
      <c r="E615" s="1" t="s">
        <v>37</v>
      </c>
      <c r="F615" s="1" t="s">
        <v>25</v>
      </c>
      <c r="G615" s="1" t="s">
        <v>32</v>
      </c>
      <c r="H615" s="1" t="s">
        <v>79</v>
      </c>
      <c r="I615">
        <v>1</v>
      </c>
      <c r="J615">
        <v>11131.92</v>
      </c>
      <c r="K615">
        <v>0.05</v>
      </c>
      <c r="L615">
        <v>2289</v>
      </c>
      <c r="M615" s="1" t="s">
        <v>28</v>
      </c>
    </row>
    <row r="616" spans="1:13" x14ac:dyDescent="0.3">
      <c r="A616" s="1" t="s">
        <v>1306</v>
      </c>
      <c r="B616" s="2">
        <v>45686</v>
      </c>
      <c r="C616" s="1" t="s">
        <v>342</v>
      </c>
      <c r="D616" s="1" t="s">
        <v>343</v>
      </c>
      <c r="E616" s="1" t="s">
        <v>37</v>
      </c>
      <c r="F616" s="1" t="s">
        <v>25</v>
      </c>
      <c r="G616" s="1" t="s">
        <v>44</v>
      </c>
      <c r="H616" s="1" t="s">
        <v>70</v>
      </c>
      <c r="I616">
        <v>1</v>
      </c>
      <c r="J616">
        <v>8045.56</v>
      </c>
      <c r="K616">
        <v>0.15</v>
      </c>
      <c r="L616">
        <v>1805.8</v>
      </c>
      <c r="M616" s="1" t="s">
        <v>28</v>
      </c>
    </row>
    <row r="617" spans="1:13" x14ac:dyDescent="0.3">
      <c r="A617" s="1" t="s">
        <v>1307</v>
      </c>
      <c r="B617" s="2">
        <v>45822</v>
      </c>
      <c r="C617" s="1" t="s">
        <v>601</v>
      </c>
      <c r="D617" s="1" t="s">
        <v>602</v>
      </c>
      <c r="E617" s="1" t="s">
        <v>16</v>
      </c>
      <c r="F617" s="1" t="s">
        <v>25</v>
      </c>
      <c r="G617" s="1" t="s">
        <v>18</v>
      </c>
      <c r="H617" s="1" t="s">
        <v>97</v>
      </c>
      <c r="I617">
        <v>6</v>
      </c>
      <c r="J617">
        <v>13307.33</v>
      </c>
      <c r="K617">
        <v>0.15</v>
      </c>
      <c r="L617">
        <v>3320.66</v>
      </c>
      <c r="M617" s="1" t="s">
        <v>28</v>
      </c>
    </row>
    <row r="618" spans="1:13" x14ac:dyDescent="0.3">
      <c r="A618" s="1" t="s">
        <v>1308</v>
      </c>
      <c r="B618" s="2">
        <v>45996</v>
      </c>
      <c r="C618" s="1" t="s">
        <v>924</v>
      </c>
      <c r="D618" s="1" t="s">
        <v>925</v>
      </c>
      <c r="E618" s="1" t="s">
        <v>43</v>
      </c>
      <c r="F618" s="1" t="s">
        <v>69</v>
      </c>
      <c r="G618" s="1" t="s">
        <v>44</v>
      </c>
      <c r="H618" s="1" t="s">
        <v>45</v>
      </c>
      <c r="I618">
        <v>6</v>
      </c>
      <c r="J618">
        <v>58759.47</v>
      </c>
      <c r="K618">
        <v>0.15</v>
      </c>
      <c r="L618">
        <v>10122.51</v>
      </c>
      <c r="M618" s="1" t="s">
        <v>28</v>
      </c>
    </row>
    <row r="619" spans="1:13" x14ac:dyDescent="0.3">
      <c r="A619" s="1" t="s">
        <v>1309</v>
      </c>
      <c r="B619" s="2">
        <v>45793</v>
      </c>
      <c r="C619" s="1" t="s">
        <v>764</v>
      </c>
      <c r="D619" s="1" t="s">
        <v>765</v>
      </c>
      <c r="E619" s="1" t="s">
        <v>24</v>
      </c>
      <c r="F619" s="1" t="s">
        <v>69</v>
      </c>
      <c r="G619" s="1" t="s">
        <v>18</v>
      </c>
      <c r="H619" s="1" t="s">
        <v>145</v>
      </c>
      <c r="I619">
        <v>4</v>
      </c>
      <c r="J619">
        <v>6018.06</v>
      </c>
      <c r="K619">
        <v>0</v>
      </c>
      <c r="L619">
        <v>1592.17</v>
      </c>
      <c r="M619" s="1" t="s">
        <v>50</v>
      </c>
    </row>
    <row r="620" spans="1:13" x14ac:dyDescent="0.3">
      <c r="A620" s="1" t="s">
        <v>1310</v>
      </c>
      <c r="B620" s="2">
        <v>46022</v>
      </c>
      <c r="C620" s="1" t="s">
        <v>655</v>
      </c>
      <c r="D620" s="1" t="s">
        <v>656</v>
      </c>
      <c r="E620" s="1" t="s">
        <v>74</v>
      </c>
      <c r="F620" s="1" t="s">
        <v>25</v>
      </c>
      <c r="G620" s="1" t="s">
        <v>18</v>
      </c>
      <c r="H620" s="1" t="s">
        <v>122</v>
      </c>
      <c r="I620">
        <v>2</v>
      </c>
      <c r="J620">
        <v>5392.31</v>
      </c>
      <c r="K620">
        <v>0</v>
      </c>
      <c r="L620">
        <v>1486.34</v>
      </c>
      <c r="M620" s="1" t="s">
        <v>50</v>
      </c>
    </row>
    <row r="621" spans="1:13" x14ac:dyDescent="0.3">
      <c r="A621" s="1" t="s">
        <v>1311</v>
      </c>
      <c r="B621" s="2">
        <v>45978</v>
      </c>
      <c r="C621" s="1" t="s">
        <v>81</v>
      </c>
      <c r="D621" s="1" t="s">
        <v>82</v>
      </c>
      <c r="E621" s="1" t="s">
        <v>37</v>
      </c>
      <c r="F621" s="1" t="s">
        <v>69</v>
      </c>
      <c r="G621" s="1" t="s">
        <v>32</v>
      </c>
      <c r="H621" s="1" t="s">
        <v>79</v>
      </c>
      <c r="I621">
        <v>6</v>
      </c>
      <c r="J621">
        <v>115290.86</v>
      </c>
      <c r="K621">
        <v>0.05</v>
      </c>
      <c r="L621">
        <v>24333.27</v>
      </c>
      <c r="M621" s="1" t="s">
        <v>20</v>
      </c>
    </row>
    <row r="622" spans="1:13" x14ac:dyDescent="0.3">
      <c r="A622" s="1" t="s">
        <v>1312</v>
      </c>
      <c r="B622" s="2">
        <v>45999</v>
      </c>
      <c r="C622" s="1" t="s">
        <v>317</v>
      </c>
      <c r="D622" s="1" t="s">
        <v>318</v>
      </c>
      <c r="E622" s="1" t="s">
        <v>43</v>
      </c>
      <c r="F622" s="1" t="s">
        <v>25</v>
      </c>
      <c r="G622" s="1" t="s">
        <v>26</v>
      </c>
      <c r="H622" s="1" t="s">
        <v>49</v>
      </c>
      <c r="I622">
        <v>2</v>
      </c>
      <c r="J622">
        <v>5293.37</v>
      </c>
      <c r="K622">
        <v>0.05</v>
      </c>
      <c r="L622">
        <v>1185.3800000000001</v>
      </c>
      <c r="M622" s="1" t="s">
        <v>55</v>
      </c>
    </row>
    <row r="623" spans="1:13" x14ac:dyDescent="0.3">
      <c r="A623" s="1" t="s">
        <v>1313</v>
      </c>
      <c r="B623" s="2">
        <v>45802</v>
      </c>
      <c r="C623" s="1" t="s">
        <v>163</v>
      </c>
      <c r="D623" s="1" t="s">
        <v>164</v>
      </c>
      <c r="E623" s="1" t="s">
        <v>43</v>
      </c>
      <c r="F623" s="1" t="s">
        <v>25</v>
      </c>
      <c r="G623" s="1" t="s">
        <v>32</v>
      </c>
      <c r="H623" s="1" t="s">
        <v>79</v>
      </c>
      <c r="I623">
        <v>8</v>
      </c>
      <c r="J623">
        <v>99978.85</v>
      </c>
      <c r="K623">
        <v>0.1</v>
      </c>
      <c r="L623">
        <v>24459.35</v>
      </c>
      <c r="M623" s="1" t="s">
        <v>20</v>
      </c>
    </row>
    <row r="624" spans="1:13" x14ac:dyDescent="0.3">
      <c r="A624" s="1" t="s">
        <v>1314</v>
      </c>
      <c r="B624" s="2">
        <v>45984</v>
      </c>
      <c r="C624" s="1" t="s">
        <v>312</v>
      </c>
      <c r="D624" s="1" t="s">
        <v>313</v>
      </c>
      <c r="E624" s="1" t="s">
        <v>24</v>
      </c>
      <c r="F624" s="1" t="s">
        <v>25</v>
      </c>
      <c r="G624" s="1" t="s">
        <v>44</v>
      </c>
      <c r="H624" s="1" t="s">
        <v>75</v>
      </c>
      <c r="I624">
        <v>1</v>
      </c>
      <c r="J624">
        <v>9092.3700000000008</v>
      </c>
      <c r="K624">
        <v>0.2</v>
      </c>
      <c r="L624">
        <v>1219.8699999999999</v>
      </c>
      <c r="M624" s="1" t="s">
        <v>20</v>
      </c>
    </row>
    <row r="625" spans="1:13" x14ac:dyDescent="0.3">
      <c r="A625" s="1" t="s">
        <v>1315</v>
      </c>
      <c r="B625" s="2">
        <v>45874</v>
      </c>
      <c r="C625" s="1" t="s">
        <v>1316</v>
      </c>
      <c r="D625" s="1" t="s">
        <v>1317</v>
      </c>
      <c r="E625" s="1" t="s">
        <v>43</v>
      </c>
      <c r="F625" s="1" t="s">
        <v>17</v>
      </c>
      <c r="G625" s="1" t="s">
        <v>18</v>
      </c>
      <c r="H625" s="1" t="s">
        <v>145</v>
      </c>
      <c r="I625">
        <v>6</v>
      </c>
      <c r="J625">
        <v>12367.77</v>
      </c>
      <c r="K625">
        <v>0.05</v>
      </c>
      <c r="L625">
        <v>3913.66</v>
      </c>
      <c r="M625" s="1" t="s">
        <v>55</v>
      </c>
    </row>
    <row r="626" spans="1:13" x14ac:dyDescent="0.3">
      <c r="A626" s="1" t="s">
        <v>1318</v>
      </c>
      <c r="B626" s="2">
        <v>45958</v>
      </c>
      <c r="C626" s="1" t="s">
        <v>988</v>
      </c>
      <c r="D626" s="1" t="s">
        <v>989</v>
      </c>
      <c r="E626" s="1" t="s">
        <v>16</v>
      </c>
      <c r="F626" s="1" t="s">
        <v>25</v>
      </c>
      <c r="G626" s="1" t="s">
        <v>44</v>
      </c>
      <c r="H626" s="1" t="s">
        <v>155</v>
      </c>
      <c r="I626">
        <v>3</v>
      </c>
      <c r="J626">
        <v>15085.79</v>
      </c>
      <c r="K626">
        <v>0.15</v>
      </c>
      <c r="L626">
        <v>2289.69</v>
      </c>
      <c r="M626" s="1" t="s">
        <v>50</v>
      </c>
    </row>
    <row r="627" spans="1:13" x14ac:dyDescent="0.3">
      <c r="A627" s="1" t="s">
        <v>1319</v>
      </c>
      <c r="B627" s="2">
        <v>45789</v>
      </c>
      <c r="C627" s="1" t="s">
        <v>1218</v>
      </c>
      <c r="D627" s="1" t="s">
        <v>1219</v>
      </c>
      <c r="E627" s="1" t="s">
        <v>74</v>
      </c>
      <c r="F627" s="1" t="s">
        <v>69</v>
      </c>
      <c r="G627" s="1" t="s">
        <v>26</v>
      </c>
      <c r="H627" s="1" t="s">
        <v>27</v>
      </c>
      <c r="I627">
        <v>10</v>
      </c>
      <c r="J627">
        <v>26855.55</v>
      </c>
      <c r="K627">
        <v>0.1</v>
      </c>
      <c r="L627">
        <v>5437.87</v>
      </c>
      <c r="M627" s="1" t="s">
        <v>28</v>
      </c>
    </row>
    <row r="628" spans="1:13" x14ac:dyDescent="0.3">
      <c r="A628" s="1" t="s">
        <v>1320</v>
      </c>
      <c r="B628" s="2">
        <v>45949</v>
      </c>
      <c r="C628" s="1" t="s">
        <v>739</v>
      </c>
      <c r="D628" s="1" t="s">
        <v>740</v>
      </c>
      <c r="E628" s="1" t="s">
        <v>24</v>
      </c>
      <c r="F628" s="1" t="s">
        <v>69</v>
      </c>
      <c r="G628" s="1" t="s">
        <v>32</v>
      </c>
      <c r="H628" s="1" t="s">
        <v>79</v>
      </c>
      <c r="I628">
        <v>4</v>
      </c>
      <c r="J628">
        <v>52125.97</v>
      </c>
      <c r="K628">
        <v>0.15</v>
      </c>
      <c r="L628">
        <v>13569.82</v>
      </c>
      <c r="M628" s="1" t="s">
        <v>28</v>
      </c>
    </row>
    <row r="629" spans="1:13" x14ac:dyDescent="0.3">
      <c r="A629" s="1" t="s">
        <v>1321</v>
      </c>
      <c r="B629" s="2">
        <v>45727</v>
      </c>
      <c r="C629" s="1" t="s">
        <v>1099</v>
      </c>
      <c r="D629" s="1" t="s">
        <v>1100</v>
      </c>
      <c r="E629" s="1" t="s">
        <v>24</v>
      </c>
      <c r="F629" s="1" t="s">
        <v>25</v>
      </c>
      <c r="G629" s="1" t="s">
        <v>32</v>
      </c>
      <c r="H629" s="1" t="s">
        <v>79</v>
      </c>
      <c r="I629">
        <v>6</v>
      </c>
      <c r="J629">
        <v>48334.1</v>
      </c>
      <c r="K629">
        <v>0.1</v>
      </c>
      <c r="L629">
        <v>9332.0300000000007</v>
      </c>
      <c r="M629" s="1" t="s">
        <v>28</v>
      </c>
    </row>
    <row r="630" spans="1:13" x14ac:dyDescent="0.3">
      <c r="A630" s="1" t="s">
        <v>1322</v>
      </c>
      <c r="B630" s="2">
        <v>45909</v>
      </c>
      <c r="C630" s="1" t="s">
        <v>932</v>
      </c>
      <c r="D630" s="1" t="s">
        <v>933</v>
      </c>
      <c r="E630" s="1" t="s">
        <v>74</v>
      </c>
      <c r="F630" s="1" t="s">
        <v>69</v>
      </c>
      <c r="G630" s="1" t="s">
        <v>44</v>
      </c>
      <c r="H630" s="1" t="s">
        <v>45</v>
      </c>
      <c r="I630">
        <v>1</v>
      </c>
      <c r="J630">
        <v>9084.94</v>
      </c>
      <c r="K630">
        <v>0.15</v>
      </c>
      <c r="L630">
        <v>1196.75</v>
      </c>
      <c r="M630" s="1" t="s">
        <v>55</v>
      </c>
    </row>
    <row r="631" spans="1:13" x14ac:dyDescent="0.3">
      <c r="A631" s="1" t="s">
        <v>1323</v>
      </c>
      <c r="B631" s="2">
        <v>45932</v>
      </c>
      <c r="C631" s="1" t="s">
        <v>81</v>
      </c>
      <c r="D631" s="1" t="s">
        <v>82</v>
      </c>
      <c r="E631" s="1" t="s">
        <v>24</v>
      </c>
      <c r="F631" s="1" t="s">
        <v>25</v>
      </c>
      <c r="G631" s="1" t="s">
        <v>26</v>
      </c>
      <c r="H631" s="1" t="s">
        <v>86</v>
      </c>
      <c r="I631">
        <v>10</v>
      </c>
      <c r="J631">
        <v>27195.74</v>
      </c>
      <c r="K631">
        <v>0.05</v>
      </c>
      <c r="L631">
        <v>6970.71</v>
      </c>
      <c r="M631" s="1" t="s">
        <v>39</v>
      </c>
    </row>
    <row r="632" spans="1:13" x14ac:dyDescent="0.3">
      <c r="A632" s="1" t="s">
        <v>1324</v>
      </c>
      <c r="B632" s="2">
        <v>46021</v>
      </c>
      <c r="C632" s="1" t="s">
        <v>190</v>
      </c>
      <c r="D632" s="1" t="s">
        <v>191</v>
      </c>
      <c r="E632" s="1" t="s">
        <v>24</v>
      </c>
      <c r="F632" s="1" t="s">
        <v>17</v>
      </c>
      <c r="G632" s="1" t="s">
        <v>32</v>
      </c>
      <c r="H632" s="1" t="s">
        <v>54</v>
      </c>
      <c r="I632">
        <v>10</v>
      </c>
      <c r="J632">
        <v>78925.97</v>
      </c>
      <c r="K632">
        <v>0.15</v>
      </c>
      <c r="L632">
        <v>20219.599999999999</v>
      </c>
      <c r="M632" s="1" t="s">
        <v>55</v>
      </c>
    </row>
    <row r="633" spans="1:13" x14ac:dyDescent="0.3">
      <c r="A633" s="1" t="s">
        <v>1325</v>
      </c>
      <c r="B633" s="2">
        <v>45839</v>
      </c>
      <c r="C633" s="1" t="s">
        <v>1096</v>
      </c>
      <c r="D633" s="1" t="s">
        <v>1097</v>
      </c>
      <c r="E633" s="1" t="s">
        <v>37</v>
      </c>
      <c r="F633" s="1" t="s">
        <v>25</v>
      </c>
      <c r="G633" s="1" t="s">
        <v>26</v>
      </c>
      <c r="H633" s="1" t="s">
        <v>244</v>
      </c>
      <c r="I633">
        <v>9</v>
      </c>
      <c r="J633">
        <v>36718.019999999997</v>
      </c>
      <c r="K633">
        <v>0</v>
      </c>
      <c r="L633">
        <v>9246.77</v>
      </c>
      <c r="M633" s="1" t="s">
        <v>50</v>
      </c>
    </row>
    <row r="634" spans="1:13" x14ac:dyDescent="0.3">
      <c r="A634" s="1" t="s">
        <v>1326</v>
      </c>
      <c r="B634" s="2">
        <v>45824</v>
      </c>
      <c r="C634" s="1" t="s">
        <v>105</v>
      </c>
      <c r="D634" s="1" t="s">
        <v>106</v>
      </c>
      <c r="E634" s="1" t="s">
        <v>43</v>
      </c>
      <c r="F634" s="1" t="s">
        <v>25</v>
      </c>
      <c r="G634" s="1" t="s">
        <v>32</v>
      </c>
      <c r="H634" s="1" t="s">
        <v>38</v>
      </c>
      <c r="I634">
        <v>9</v>
      </c>
      <c r="J634">
        <v>100170.54</v>
      </c>
      <c r="K634">
        <v>0.05</v>
      </c>
      <c r="L634">
        <v>18629.21</v>
      </c>
      <c r="M634" s="1" t="s">
        <v>28</v>
      </c>
    </row>
    <row r="635" spans="1:13" x14ac:dyDescent="0.3">
      <c r="A635" s="1" t="s">
        <v>1327</v>
      </c>
      <c r="B635" s="2">
        <v>45748</v>
      </c>
      <c r="C635" s="1" t="s">
        <v>279</v>
      </c>
      <c r="D635" s="1" t="s">
        <v>280</v>
      </c>
      <c r="E635" s="1" t="s">
        <v>16</v>
      </c>
      <c r="F635" s="1" t="s">
        <v>17</v>
      </c>
      <c r="G635" s="1" t="s">
        <v>32</v>
      </c>
      <c r="H635" s="1" t="s">
        <v>33</v>
      </c>
      <c r="I635">
        <v>4</v>
      </c>
      <c r="J635">
        <v>61750.93</v>
      </c>
      <c r="K635">
        <v>0.05</v>
      </c>
      <c r="L635">
        <v>12271.4</v>
      </c>
      <c r="M635" s="1" t="s">
        <v>55</v>
      </c>
    </row>
    <row r="636" spans="1:13" x14ac:dyDescent="0.3">
      <c r="A636" s="1" t="s">
        <v>1328</v>
      </c>
      <c r="B636" s="2">
        <v>45859</v>
      </c>
      <c r="C636" s="1" t="s">
        <v>424</v>
      </c>
      <c r="D636" s="1" t="s">
        <v>425</v>
      </c>
      <c r="E636" s="1" t="s">
        <v>43</v>
      </c>
      <c r="F636" s="1" t="s">
        <v>25</v>
      </c>
      <c r="G636" s="1" t="s">
        <v>26</v>
      </c>
      <c r="H636" s="1" t="s">
        <v>86</v>
      </c>
      <c r="I636">
        <v>5</v>
      </c>
      <c r="J636">
        <v>12040.99</v>
      </c>
      <c r="K636">
        <v>0.25</v>
      </c>
      <c r="L636">
        <v>2474.12</v>
      </c>
      <c r="M636" s="1" t="s">
        <v>55</v>
      </c>
    </row>
    <row r="637" spans="1:13" x14ac:dyDescent="0.3">
      <c r="A637" s="1" t="s">
        <v>1329</v>
      </c>
      <c r="B637" s="2">
        <v>46003</v>
      </c>
      <c r="C637" s="1" t="s">
        <v>961</v>
      </c>
      <c r="D637" s="1" t="s">
        <v>962</v>
      </c>
      <c r="E637" s="1" t="s">
        <v>74</v>
      </c>
      <c r="F637" s="1" t="s">
        <v>25</v>
      </c>
      <c r="G637" s="1" t="s">
        <v>18</v>
      </c>
      <c r="H637" s="1" t="s">
        <v>141</v>
      </c>
      <c r="I637">
        <v>4</v>
      </c>
      <c r="J637">
        <v>8206.5400000000009</v>
      </c>
      <c r="K637">
        <v>0.2</v>
      </c>
      <c r="L637">
        <v>2548.21</v>
      </c>
      <c r="M637" s="1" t="s">
        <v>20</v>
      </c>
    </row>
    <row r="638" spans="1:13" x14ac:dyDescent="0.3">
      <c r="A638" s="1" t="s">
        <v>1330</v>
      </c>
      <c r="B638" s="2">
        <v>45676</v>
      </c>
      <c r="C638" s="1" t="s">
        <v>632</v>
      </c>
      <c r="D638" s="1" t="s">
        <v>633</v>
      </c>
      <c r="E638" s="1" t="s">
        <v>24</v>
      </c>
      <c r="F638" s="1" t="s">
        <v>25</v>
      </c>
      <c r="G638" s="1" t="s">
        <v>18</v>
      </c>
      <c r="H638" s="1" t="s">
        <v>145</v>
      </c>
      <c r="I638">
        <v>1</v>
      </c>
      <c r="J638">
        <v>2117.59</v>
      </c>
      <c r="K638">
        <v>0.05</v>
      </c>
      <c r="L638">
        <v>540.97</v>
      </c>
      <c r="M638" s="1" t="s">
        <v>39</v>
      </c>
    </row>
    <row r="639" spans="1:13" x14ac:dyDescent="0.3">
      <c r="A639" s="1" t="s">
        <v>1331</v>
      </c>
      <c r="B639" s="2">
        <v>45696</v>
      </c>
      <c r="C639" s="1" t="s">
        <v>1332</v>
      </c>
      <c r="D639" s="1" t="s">
        <v>1333</v>
      </c>
      <c r="E639" s="1" t="s">
        <v>37</v>
      </c>
      <c r="F639" s="1" t="s">
        <v>25</v>
      </c>
      <c r="G639" s="1" t="s">
        <v>32</v>
      </c>
      <c r="H639" s="1" t="s">
        <v>33</v>
      </c>
      <c r="I639">
        <v>10</v>
      </c>
      <c r="J639">
        <v>115318.72</v>
      </c>
      <c r="K639">
        <v>0.1</v>
      </c>
      <c r="L639">
        <v>28695.9</v>
      </c>
      <c r="M639" s="1" t="s">
        <v>20</v>
      </c>
    </row>
    <row r="640" spans="1:13" x14ac:dyDescent="0.3">
      <c r="A640" s="1" t="s">
        <v>1334</v>
      </c>
      <c r="B640" s="2">
        <v>45783</v>
      </c>
      <c r="C640" s="1" t="s">
        <v>1335</v>
      </c>
      <c r="D640" s="1" t="s">
        <v>1336</v>
      </c>
      <c r="E640" s="1" t="s">
        <v>74</v>
      </c>
      <c r="F640" s="1" t="s">
        <v>25</v>
      </c>
      <c r="G640" s="1" t="s">
        <v>26</v>
      </c>
      <c r="H640" s="1" t="s">
        <v>244</v>
      </c>
      <c r="I640">
        <v>6</v>
      </c>
      <c r="J640">
        <v>11559.79</v>
      </c>
      <c r="K640">
        <v>0</v>
      </c>
      <c r="L640">
        <v>3231.59</v>
      </c>
      <c r="M640" s="1" t="s">
        <v>55</v>
      </c>
    </row>
    <row r="641" spans="1:13" x14ac:dyDescent="0.3">
      <c r="A641" s="1" t="s">
        <v>1337</v>
      </c>
      <c r="B641" s="2">
        <v>45830</v>
      </c>
      <c r="C641" s="1" t="s">
        <v>77</v>
      </c>
      <c r="D641" s="1" t="s">
        <v>78</v>
      </c>
      <c r="E641" s="1" t="s">
        <v>24</v>
      </c>
      <c r="F641" s="1" t="s">
        <v>17</v>
      </c>
      <c r="G641" s="1" t="s">
        <v>32</v>
      </c>
      <c r="H641" s="1" t="s">
        <v>38</v>
      </c>
      <c r="I641">
        <v>3</v>
      </c>
      <c r="J641">
        <v>47619.87</v>
      </c>
      <c r="K641">
        <v>0.1</v>
      </c>
      <c r="L641">
        <v>10573.15</v>
      </c>
      <c r="M641" s="1" t="s">
        <v>39</v>
      </c>
    </row>
    <row r="642" spans="1:13" x14ac:dyDescent="0.3">
      <c r="A642" s="1" t="s">
        <v>1338</v>
      </c>
      <c r="B642" s="2">
        <v>45798</v>
      </c>
      <c r="C642" s="1" t="s">
        <v>947</v>
      </c>
      <c r="D642" s="1" t="s">
        <v>948</v>
      </c>
      <c r="E642" s="1" t="s">
        <v>43</v>
      </c>
      <c r="F642" s="1" t="s">
        <v>25</v>
      </c>
      <c r="G642" s="1" t="s">
        <v>26</v>
      </c>
      <c r="H642" s="1" t="s">
        <v>27</v>
      </c>
      <c r="I642">
        <v>1</v>
      </c>
      <c r="J642">
        <v>2444.8000000000002</v>
      </c>
      <c r="K642">
        <v>0.2</v>
      </c>
      <c r="L642">
        <v>510.72</v>
      </c>
      <c r="M642" s="1" t="s">
        <v>55</v>
      </c>
    </row>
    <row r="643" spans="1:13" x14ac:dyDescent="0.3">
      <c r="A643" s="1" t="s">
        <v>1339</v>
      </c>
      <c r="B643" s="2">
        <v>45899</v>
      </c>
      <c r="C643" s="1" t="s">
        <v>1228</v>
      </c>
      <c r="D643" s="1" t="s">
        <v>1229</v>
      </c>
      <c r="E643" s="1" t="s">
        <v>37</v>
      </c>
      <c r="F643" s="1" t="s">
        <v>25</v>
      </c>
      <c r="G643" s="1" t="s">
        <v>26</v>
      </c>
      <c r="H643" s="1" t="s">
        <v>244</v>
      </c>
      <c r="I643">
        <v>5</v>
      </c>
      <c r="J643">
        <v>11408.22</v>
      </c>
      <c r="K643">
        <v>0.15</v>
      </c>
      <c r="L643">
        <v>2956.27</v>
      </c>
      <c r="M643" s="1" t="s">
        <v>50</v>
      </c>
    </row>
    <row r="644" spans="1:13" x14ac:dyDescent="0.3">
      <c r="A644" s="1" t="s">
        <v>1340</v>
      </c>
      <c r="B644" s="2">
        <v>45877</v>
      </c>
      <c r="C644" s="1" t="s">
        <v>1301</v>
      </c>
      <c r="D644" s="1" t="s">
        <v>1302</v>
      </c>
      <c r="E644" s="1" t="s">
        <v>43</v>
      </c>
      <c r="F644" s="1" t="s">
        <v>25</v>
      </c>
      <c r="G644" s="1" t="s">
        <v>44</v>
      </c>
      <c r="H644" s="1" t="s">
        <v>90</v>
      </c>
      <c r="I644">
        <v>7</v>
      </c>
      <c r="J644">
        <v>56460.07</v>
      </c>
      <c r="K644">
        <v>0.15</v>
      </c>
      <c r="L644">
        <v>7744.83</v>
      </c>
      <c r="M644" s="1" t="s">
        <v>28</v>
      </c>
    </row>
    <row r="645" spans="1:13" x14ac:dyDescent="0.3">
      <c r="A645" s="1" t="s">
        <v>1341</v>
      </c>
      <c r="B645" s="2">
        <v>45783</v>
      </c>
      <c r="C645" s="1" t="s">
        <v>863</v>
      </c>
      <c r="D645" s="1" t="s">
        <v>864</v>
      </c>
      <c r="E645" s="1" t="s">
        <v>24</v>
      </c>
      <c r="F645" s="1" t="s">
        <v>69</v>
      </c>
      <c r="G645" s="1" t="s">
        <v>26</v>
      </c>
      <c r="H645" s="1" t="s">
        <v>49</v>
      </c>
      <c r="I645">
        <v>6</v>
      </c>
      <c r="J645">
        <v>14312.75</v>
      </c>
      <c r="K645">
        <v>0.15</v>
      </c>
      <c r="L645">
        <v>3256.42</v>
      </c>
      <c r="M645" s="1" t="s">
        <v>39</v>
      </c>
    </row>
    <row r="646" spans="1:13" x14ac:dyDescent="0.3">
      <c r="A646" s="1" t="s">
        <v>1342</v>
      </c>
      <c r="B646" s="2">
        <v>45715</v>
      </c>
      <c r="C646" s="1" t="s">
        <v>1265</v>
      </c>
      <c r="D646" s="1" t="s">
        <v>1266</v>
      </c>
      <c r="E646" s="1" t="s">
        <v>37</v>
      </c>
      <c r="F646" s="1" t="s">
        <v>17</v>
      </c>
      <c r="G646" s="1" t="s">
        <v>44</v>
      </c>
      <c r="H646" s="1" t="s">
        <v>155</v>
      </c>
      <c r="I646">
        <v>10</v>
      </c>
      <c r="J646">
        <v>70749.03</v>
      </c>
      <c r="K646">
        <v>0.05</v>
      </c>
      <c r="L646">
        <v>14256.9</v>
      </c>
      <c r="M646" s="1" t="s">
        <v>55</v>
      </c>
    </row>
    <row r="647" spans="1:13" x14ac:dyDescent="0.3">
      <c r="A647" s="1" t="s">
        <v>1343</v>
      </c>
      <c r="B647" s="2">
        <v>45805</v>
      </c>
      <c r="C647" s="1" t="s">
        <v>574</v>
      </c>
      <c r="D647" s="1" t="s">
        <v>575</v>
      </c>
      <c r="E647" s="1" t="s">
        <v>24</v>
      </c>
      <c r="F647" s="1" t="s">
        <v>25</v>
      </c>
      <c r="G647" s="1" t="s">
        <v>18</v>
      </c>
      <c r="H647" s="1" t="s">
        <v>141</v>
      </c>
      <c r="I647">
        <v>5</v>
      </c>
      <c r="J647">
        <v>7179.1</v>
      </c>
      <c r="K647">
        <v>0.1</v>
      </c>
      <c r="L647">
        <v>1855.73</v>
      </c>
      <c r="M647" s="1" t="s">
        <v>55</v>
      </c>
    </row>
    <row r="648" spans="1:13" x14ac:dyDescent="0.3">
      <c r="A648" s="1" t="s">
        <v>1344</v>
      </c>
      <c r="B648" s="2">
        <v>45974</v>
      </c>
      <c r="C648" s="1" t="s">
        <v>574</v>
      </c>
      <c r="D648" s="1" t="s">
        <v>575</v>
      </c>
      <c r="E648" s="1" t="s">
        <v>24</v>
      </c>
      <c r="F648" s="1" t="s">
        <v>25</v>
      </c>
      <c r="G648" s="1" t="s">
        <v>32</v>
      </c>
      <c r="H648" s="1" t="s">
        <v>79</v>
      </c>
      <c r="I648">
        <v>9</v>
      </c>
      <c r="J648">
        <v>70888.94</v>
      </c>
      <c r="K648">
        <v>0.1</v>
      </c>
      <c r="L648">
        <v>18108.259999999998</v>
      </c>
      <c r="M648" s="1" t="s">
        <v>28</v>
      </c>
    </row>
    <row r="649" spans="1:13" x14ac:dyDescent="0.3">
      <c r="A649" s="1" t="s">
        <v>1345</v>
      </c>
      <c r="B649" s="2">
        <v>46018</v>
      </c>
      <c r="C649" s="1" t="s">
        <v>904</v>
      </c>
      <c r="D649" s="1" t="s">
        <v>905</v>
      </c>
      <c r="E649" s="1" t="s">
        <v>37</v>
      </c>
      <c r="F649" s="1" t="s">
        <v>69</v>
      </c>
      <c r="G649" s="1" t="s">
        <v>26</v>
      </c>
      <c r="H649" s="1" t="s">
        <v>86</v>
      </c>
      <c r="I649">
        <v>2</v>
      </c>
      <c r="J649">
        <v>6965.9</v>
      </c>
      <c r="K649">
        <v>0.1</v>
      </c>
      <c r="L649">
        <v>1725.49</v>
      </c>
      <c r="M649" s="1" t="s">
        <v>20</v>
      </c>
    </row>
    <row r="650" spans="1:13" x14ac:dyDescent="0.3">
      <c r="A650" s="1" t="s">
        <v>1346</v>
      </c>
      <c r="B650" s="2">
        <v>45658</v>
      </c>
      <c r="C650" s="1" t="s">
        <v>919</v>
      </c>
      <c r="D650" s="1" t="s">
        <v>920</v>
      </c>
      <c r="E650" s="1" t="s">
        <v>43</v>
      </c>
      <c r="F650" s="1" t="s">
        <v>25</v>
      </c>
      <c r="G650" s="1" t="s">
        <v>44</v>
      </c>
      <c r="H650" s="1" t="s">
        <v>90</v>
      </c>
      <c r="I650">
        <v>10</v>
      </c>
      <c r="J650">
        <v>74390.09</v>
      </c>
      <c r="K650">
        <v>0.1</v>
      </c>
      <c r="L650">
        <v>11379.57</v>
      </c>
      <c r="M650" s="1" t="s">
        <v>28</v>
      </c>
    </row>
    <row r="651" spans="1:13" x14ac:dyDescent="0.3">
      <c r="A651" s="1" t="s">
        <v>1347</v>
      </c>
      <c r="B651" s="2">
        <v>46005</v>
      </c>
      <c r="C651" s="1" t="s">
        <v>1021</v>
      </c>
      <c r="D651" s="1" t="s">
        <v>1022</v>
      </c>
      <c r="E651" s="1" t="s">
        <v>24</v>
      </c>
      <c r="F651" s="1" t="s">
        <v>25</v>
      </c>
      <c r="G651" s="1" t="s">
        <v>32</v>
      </c>
      <c r="H651" s="1" t="s">
        <v>54</v>
      </c>
      <c r="I651">
        <v>4</v>
      </c>
      <c r="J651">
        <v>60565.75</v>
      </c>
      <c r="K651">
        <v>0.2</v>
      </c>
      <c r="L651">
        <v>13221.9</v>
      </c>
      <c r="M651" s="1" t="s">
        <v>55</v>
      </c>
    </row>
    <row r="652" spans="1:13" x14ac:dyDescent="0.3">
      <c r="A652" s="1" t="s">
        <v>1348</v>
      </c>
      <c r="B652" s="2">
        <v>45847</v>
      </c>
      <c r="C652" s="1" t="s">
        <v>172</v>
      </c>
      <c r="D652" s="1" t="s">
        <v>173</v>
      </c>
      <c r="E652" s="1" t="s">
        <v>37</v>
      </c>
      <c r="F652" s="1" t="s">
        <v>25</v>
      </c>
      <c r="G652" s="1" t="s">
        <v>26</v>
      </c>
      <c r="H652" s="1" t="s">
        <v>231</v>
      </c>
      <c r="I652">
        <v>4</v>
      </c>
      <c r="J652">
        <v>9516.7000000000007</v>
      </c>
      <c r="K652">
        <v>0.2</v>
      </c>
      <c r="L652">
        <v>2488.9499999999998</v>
      </c>
      <c r="M652" s="1" t="s">
        <v>55</v>
      </c>
    </row>
    <row r="653" spans="1:13" x14ac:dyDescent="0.3">
      <c r="A653" s="1" t="s">
        <v>1349</v>
      </c>
      <c r="B653" s="2">
        <v>45848</v>
      </c>
      <c r="C653" s="1" t="s">
        <v>282</v>
      </c>
      <c r="D653" s="1" t="s">
        <v>283</v>
      </c>
      <c r="E653" s="1" t="s">
        <v>16</v>
      </c>
      <c r="F653" s="1" t="s">
        <v>17</v>
      </c>
      <c r="G653" s="1" t="s">
        <v>26</v>
      </c>
      <c r="H653" s="1" t="s">
        <v>231</v>
      </c>
      <c r="I653">
        <v>4</v>
      </c>
      <c r="J653">
        <v>11961.78</v>
      </c>
      <c r="K653">
        <v>0.15</v>
      </c>
      <c r="L653">
        <v>2849.58</v>
      </c>
      <c r="M653" s="1" t="s">
        <v>28</v>
      </c>
    </row>
    <row r="654" spans="1:13" x14ac:dyDescent="0.3">
      <c r="A654" s="1" t="s">
        <v>1350</v>
      </c>
      <c r="B654" s="2">
        <v>45969</v>
      </c>
      <c r="C654" s="1" t="s">
        <v>236</v>
      </c>
      <c r="D654" s="1" t="s">
        <v>237</v>
      </c>
      <c r="E654" s="1" t="s">
        <v>16</v>
      </c>
      <c r="F654" s="1" t="s">
        <v>69</v>
      </c>
      <c r="G654" s="1" t="s">
        <v>44</v>
      </c>
      <c r="H654" s="1" t="s">
        <v>155</v>
      </c>
      <c r="I654">
        <v>10</v>
      </c>
      <c r="J654">
        <v>51585.34</v>
      </c>
      <c r="K654">
        <v>0.2</v>
      </c>
      <c r="L654">
        <v>9157.2800000000007</v>
      </c>
      <c r="M654" s="1" t="s">
        <v>55</v>
      </c>
    </row>
    <row r="655" spans="1:13" x14ac:dyDescent="0.3">
      <c r="A655" s="1" t="s">
        <v>1351</v>
      </c>
      <c r="B655" s="2">
        <v>45774</v>
      </c>
      <c r="C655" s="1" t="s">
        <v>111</v>
      </c>
      <c r="D655" s="1" t="s">
        <v>112</v>
      </c>
      <c r="E655" s="1" t="s">
        <v>43</v>
      </c>
      <c r="F655" s="1" t="s">
        <v>25</v>
      </c>
      <c r="G655" s="1" t="s">
        <v>44</v>
      </c>
      <c r="H655" s="1" t="s">
        <v>155</v>
      </c>
      <c r="I655">
        <v>9</v>
      </c>
      <c r="J655">
        <v>102991.53</v>
      </c>
      <c r="K655">
        <v>0.15</v>
      </c>
      <c r="L655">
        <v>13872.59</v>
      </c>
      <c r="M655" s="1" t="s">
        <v>50</v>
      </c>
    </row>
    <row r="656" spans="1:13" x14ac:dyDescent="0.3">
      <c r="A656" s="1" t="s">
        <v>1352</v>
      </c>
      <c r="B656" s="2">
        <v>45791</v>
      </c>
      <c r="C656" s="1" t="s">
        <v>853</v>
      </c>
      <c r="D656" s="1" t="s">
        <v>854</v>
      </c>
      <c r="E656" s="1" t="s">
        <v>43</v>
      </c>
      <c r="F656" s="1" t="s">
        <v>17</v>
      </c>
      <c r="G656" s="1" t="s">
        <v>44</v>
      </c>
      <c r="H656" s="1" t="s">
        <v>45</v>
      </c>
      <c r="I656">
        <v>1</v>
      </c>
      <c r="J656">
        <v>8753.26</v>
      </c>
      <c r="K656">
        <v>0.1</v>
      </c>
      <c r="L656">
        <v>1144.1400000000001</v>
      </c>
      <c r="M656" s="1" t="s">
        <v>20</v>
      </c>
    </row>
    <row r="657" spans="1:13" x14ac:dyDescent="0.3">
      <c r="A657" s="1" t="s">
        <v>1353</v>
      </c>
      <c r="B657" s="2">
        <v>45715</v>
      </c>
      <c r="C657" s="1" t="s">
        <v>524</v>
      </c>
      <c r="D657" s="1" t="s">
        <v>525</v>
      </c>
      <c r="E657" s="1" t="s">
        <v>37</v>
      </c>
      <c r="F657" s="1" t="s">
        <v>69</v>
      </c>
      <c r="G657" s="1" t="s">
        <v>18</v>
      </c>
      <c r="H657" s="1" t="s">
        <v>19</v>
      </c>
      <c r="I657">
        <v>1</v>
      </c>
      <c r="J657">
        <v>1751.77</v>
      </c>
      <c r="K657">
        <v>0.1</v>
      </c>
      <c r="L657">
        <v>569.97</v>
      </c>
      <c r="M657" s="1" t="s">
        <v>50</v>
      </c>
    </row>
    <row r="658" spans="1:13" x14ac:dyDescent="0.3">
      <c r="A658" s="1" t="s">
        <v>1354</v>
      </c>
      <c r="B658" s="2">
        <v>45701</v>
      </c>
      <c r="C658" s="1" t="s">
        <v>160</v>
      </c>
      <c r="D658" s="1" t="s">
        <v>161</v>
      </c>
      <c r="E658" s="1" t="s">
        <v>16</v>
      </c>
      <c r="F658" s="1" t="s">
        <v>69</v>
      </c>
      <c r="G658" s="1" t="s">
        <v>32</v>
      </c>
      <c r="H658" s="1" t="s">
        <v>33</v>
      </c>
      <c r="I658">
        <v>10</v>
      </c>
      <c r="J658">
        <v>161236.13</v>
      </c>
      <c r="K658">
        <v>0</v>
      </c>
      <c r="L658">
        <v>34074.71</v>
      </c>
      <c r="M658" s="1" t="s">
        <v>55</v>
      </c>
    </row>
    <row r="659" spans="1:13" x14ac:dyDescent="0.3">
      <c r="A659" s="1" t="s">
        <v>1355</v>
      </c>
      <c r="B659" s="2">
        <v>45830</v>
      </c>
      <c r="C659" s="1" t="s">
        <v>655</v>
      </c>
      <c r="D659" s="1" t="s">
        <v>656</v>
      </c>
      <c r="E659" s="1" t="s">
        <v>24</v>
      </c>
      <c r="F659" s="1" t="s">
        <v>69</v>
      </c>
      <c r="G659" s="1" t="s">
        <v>18</v>
      </c>
      <c r="H659" s="1" t="s">
        <v>141</v>
      </c>
      <c r="I659">
        <v>3</v>
      </c>
      <c r="J659">
        <v>3616.47</v>
      </c>
      <c r="K659">
        <v>0.1</v>
      </c>
      <c r="L659">
        <v>1169.8599999999999</v>
      </c>
      <c r="M659" s="1" t="s">
        <v>20</v>
      </c>
    </row>
    <row r="660" spans="1:13" x14ac:dyDescent="0.3">
      <c r="A660" s="1" t="s">
        <v>1356</v>
      </c>
      <c r="B660" s="2">
        <v>45817</v>
      </c>
      <c r="C660" s="1" t="s">
        <v>1357</v>
      </c>
      <c r="D660" s="1" t="s">
        <v>1358</v>
      </c>
      <c r="E660" s="1" t="s">
        <v>74</v>
      </c>
      <c r="F660" s="1" t="s">
        <v>25</v>
      </c>
      <c r="G660" s="1" t="s">
        <v>26</v>
      </c>
      <c r="H660" s="1" t="s">
        <v>244</v>
      </c>
      <c r="I660">
        <v>4</v>
      </c>
      <c r="J660">
        <v>15577.38</v>
      </c>
      <c r="K660">
        <v>0.1</v>
      </c>
      <c r="L660">
        <v>4196.3500000000004</v>
      </c>
      <c r="M660" s="1" t="s">
        <v>28</v>
      </c>
    </row>
    <row r="661" spans="1:13" x14ac:dyDescent="0.3">
      <c r="A661" s="1" t="s">
        <v>1359</v>
      </c>
      <c r="B661" s="2">
        <v>45830</v>
      </c>
      <c r="C661" s="1" t="s">
        <v>1014</v>
      </c>
      <c r="D661" s="1" t="s">
        <v>1015</v>
      </c>
      <c r="E661" s="1" t="s">
        <v>24</v>
      </c>
      <c r="F661" s="1" t="s">
        <v>17</v>
      </c>
      <c r="G661" s="1" t="s">
        <v>26</v>
      </c>
      <c r="H661" s="1" t="s">
        <v>49</v>
      </c>
      <c r="I661">
        <v>7</v>
      </c>
      <c r="J661">
        <v>26241.759999999998</v>
      </c>
      <c r="K661">
        <v>0</v>
      </c>
      <c r="L661">
        <v>5738.48</v>
      </c>
      <c r="M661" s="1" t="s">
        <v>20</v>
      </c>
    </row>
    <row r="662" spans="1:13" x14ac:dyDescent="0.3">
      <c r="A662" s="1" t="s">
        <v>1360</v>
      </c>
      <c r="B662" s="2">
        <v>45974</v>
      </c>
      <c r="C662" s="1" t="s">
        <v>211</v>
      </c>
      <c r="D662" s="1" t="s">
        <v>212</v>
      </c>
      <c r="E662" s="1" t="s">
        <v>37</v>
      </c>
      <c r="F662" s="1" t="s">
        <v>25</v>
      </c>
      <c r="G662" s="1" t="s">
        <v>44</v>
      </c>
      <c r="H662" s="1" t="s">
        <v>90</v>
      </c>
      <c r="I662">
        <v>5</v>
      </c>
      <c r="J662">
        <v>26295.27</v>
      </c>
      <c r="K662">
        <v>0.15</v>
      </c>
      <c r="L662">
        <v>4072.42</v>
      </c>
      <c r="M662" s="1" t="s">
        <v>28</v>
      </c>
    </row>
    <row r="663" spans="1:13" x14ac:dyDescent="0.3">
      <c r="A663" s="1" t="s">
        <v>1361</v>
      </c>
      <c r="B663" s="2">
        <v>45960</v>
      </c>
      <c r="C663" s="1" t="s">
        <v>947</v>
      </c>
      <c r="D663" s="1" t="s">
        <v>948</v>
      </c>
      <c r="E663" s="1" t="s">
        <v>37</v>
      </c>
      <c r="F663" s="1" t="s">
        <v>69</v>
      </c>
      <c r="G663" s="1" t="s">
        <v>32</v>
      </c>
      <c r="H663" s="1" t="s">
        <v>79</v>
      </c>
      <c r="I663">
        <v>5</v>
      </c>
      <c r="J663">
        <v>32839.82</v>
      </c>
      <c r="K663">
        <v>0.2</v>
      </c>
      <c r="L663">
        <v>5823.51</v>
      </c>
      <c r="M663" s="1" t="s">
        <v>20</v>
      </c>
    </row>
    <row r="664" spans="1:13" x14ac:dyDescent="0.3">
      <c r="A664" s="1" t="s">
        <v>1362</v>
      </c>
      <c r="B664" s="2">
        <v>45806</v>
      </c>
      <c r="C664" s="1" t="s">
        <v>30</v>
      </c>
      <c r="D664" s="1" t="s">
        <v>31</v>
      </c>
      <c r="E664" s="1" t="s">
        <v>37</v>
      </c>
      <c r="F664" s="1" t="s">
        <v>25</v>
      </c>
      <c r="G664" s="1" t="s">
        <v>32</v>
      </c>
      <c r="H664" s="1" t="s">
        <v>38</v>
      </c>
      <c r="I664">
        <v>9</v>
      </c>
      <c r="J664">
        <v>141801.57999999999</v>
      </c>
      <c r="K664">
        <v>0.1</v>
      </c>
      <c r="L664">
        <v>25188.25</v>
      </c>
      <c r="M664" s="1" t="s">
        <v>50</v>
      </c>
    </row>
    <row r="665" spans="1:13" x14ac:dyDescent="0.3">
      <c r="A665" s="1" t="s">
        <v>1363</v>
      </c>
      <c r="B665" s="2">
        <v>45737</v>
      </c>
      <c r="C665" s="1" t="s">
        <v>41</v>
      </c>
      <c r="D665" s="1" t="s">
        <v>42</v>
      </c>
      <c r="E665" s="1" t="s">
        <v>43</v>
      </c>
      <c r="F665" s="1" t="s">
        <v>69</v>
      </c>
      <c r="G665" s="1" t="s">
        <v>44</v>
      </c>
      <c r="H665" s="1" t="s">
        <v>75</v>
      </c>
      <c r="I665">
        <v>4</v>
      </c>
      <c r="J665">
        <v>36685.64</v>
      </c>
      <c r="K665">
        <v>0.15</v>
      </c>
      <c r="L665">
        <v>6404.32</v>
      </c>
      <c r="M665" s="1" t="s">
        <v>20</v>
      </c>
    </row>
    <row r="666" spans="1:13" x14ac:dyDescent="0.3">
      <c r="A666" s="1" t="s">
        <v>1364</v>
      </c>
      <c r="B666" s="2">
        <v>45870</v>
      </c>
      <c r="C666" s="1" t="s">
        <v>814</v>
      </c>
      <c r="D666" s="1" t="s">
        <v>815</v>
      </c>
      <c r="E666" s="1" t="s">
        <v>24</v>
      </c>
      <c r="F666" s="1" t="s">
        <v>17</v>
      </c>
      <c r="G666" s="1" t="s">
        <v>32</v>
      </c>
      <c r="H666" s="1" t="s">
        <v>38</v>
      </c>
      <c r="I666">
        <v>5</v>
      </c>
      <c r="J666">
        <v>56216.03</v>
      </c>
      <c r="K666">
        <v>0.15</v>
      </c>
      <c r="L666">
        <v>10403.4</v>
      </c>
      <c r="M666" s="1" t="s">
        <v>39</v>
      </c>
    </row>
    <row r="667" spans="1:13" x14ac:dyDescent="0.3">
      <c r="A667" s="1" t="s">
        <v>1365</v>
      </c>
      <c r="B667" s="2">
        <v>45860</v>
      </c>
      <c r="C667" s="1" t="s">
        <v>178</v>
      </c>
      <c r="D667" s="1" t="s">
        <v>179</v>
      </c>
      <c r="E667" s="1" t="s">
        <v>24</v>
      </c>
      <c r="F667" s="1" t="s">
        <v>25</v>
      </c>
      <c r="G667" s="1" t="s">
        <v>18</v>
      </c>
      <c r="H667" s="1" t="s">
        <v>122</v>
      </c>
      <c r="I667">
        <v>1</v>
      </c>
      <c r="J667">
        <v>1493.4</v>
      </c>
      <c r="K667">
        <v>0.2</v>
      </c>
      <c r="L667">
        <v>422.22</v>
      </c>
      <c r="M667" s="1" t="s">
        <v>39</v>
      </c>
    </row>
    <row r="668" spans="1:13" x14ac:dyDescent="0.3">
      <c r="A668" s="1" t="s">
        <v>1366</v>
      </c>
      <c r="B668" s="2">
        <v>45909</v>
      </c>
      <c r="C668" s="1" t="s">
        <v>1367</v>
      </c>
      <c r="D668" s="1" t="s">
        <v>1368</v>
      </c>
      <c r="E668" s="1" t="s">
        <v>24</v>
      </c>
      <c r="F668" s="1" t="s">
        <v>69</v>
      </c>
      <c r="G668" s="1" t="s">
        <v>18</v>
      </c>
      <c r="H668" s="1" t="s">
        <v>97</v>
      </c>
      <c r="I668">
        <v>10</v>
      </c>
      <c r="J668">
        <v>21035.87</v>
      </c>
      <c r="K668">
        <v>0.2</v>
      </c>
      <c r="L668">
        <v>5932.6</v>
      </c>
      <c r="M668" s="1" t="s">
        <v>50</v>
      </c>
    </row>
    <row r="669" spans="1:13" x14ac:dyDescent="0.3">
      <c r="A669" s="1" t="s">
        <v>1369</v>
      </c>
      <c r="B669" s="2">
        <v>45886</v>
      </c>
      <c r="C669" s="1" t="s">
        <v>952</v>
      </c>
      <c r="D669" s="1" t="s">
        <v>953</v>
      </c>
      <c r="E669" s="1" t="s">
        <v>37</v>
      </c>
      <c r="F669" s="1" t="s">
        <v>25</v>
      </c>
      <c r="G669" s="1" t="s">
        <v>44</v>
      </c>
      <c r="H669" s="1" t="s">
        <v>70</v>
      </c>
      <c r="I669">
        <v>10</v>
      </c>
      <c r="J669">
        <v>62664.91</v>
      </c>
      <c r="K669">
        <v>0.1</v>
      </c>
      <c r="L669">
        <v>10856.3</v>
      </c>
      <c r="M669" s="1" t="s">
        <v>50</v>
      </c>
    </row>
    <row r="670" spans="1:13" x14ac:dyDescent="0.3">
      <c r="A670" s="1" t="s">
        <v>1370</v>
      </c>
      <c r="B670" s="2">
        <v>45821</v>
      </c>
      <c r="C670" s="1" t="s">
        <v>580</v>
      </c>
      <c r="D670" s="1" t="s">
        <v>581</v>
      </c>
      <c r="E670" s="1" t="s">
        <v>24</v>
      </c>
      <c r="F670" s="1" t="s">
        <v>25</v>
      </c>
      <c r="G670" s="1" t="s">
        <v>32</v>
      </c>
      <c r="H670" s="1" t="s">
        <v>79</v>
      </c>
      <c r="I670">
        <v>1</v>
      </c>
      <c r="J670">
        <v>15695.3</v>
      </c>
      <c r="K670">
        <v>0</v>
      </c>
      <c r="L670">
        <v>3072.84</v>
      </c>
      <c r="M670" s="1" t="s">
        <v>55</v>
      </c>
    </row>
    <row r="671" spans="1:13" x14ac:dyDescent="0.3">
      <c r="A671" s="1" t="s">
        <v>1371</v>
      </c>
      <c r="B671" s="2">
        <v>45884</v>
      </c>
      <c r="C671" s="1" t="s">
        <v>454</v>
      </c>
      <c r="D671" s="1" t="s">
        <v>455</v>
      </c>
      <c r="E671" s="1" t="s">
        <v>74</v>
      </c>
      <c r="F671" s="1" t="s">
        <v>25</v>
      </c>
      <c r="G671" s="1" t="s">
        <v>18</v>
      </c>
      <c r="H671" s="1" t="s">
        <v>97</v>
      </c>
      <c r="I671">
        <v>8</v>
      </c>
      <c r="J671">
        <v>14694.44</v>
      </c>
      <c r="K671">
        <v>0.05</v>
      </c>
      <c r="L671">
        <v>3435.52</v>
      </c>
      <c r="M671" s="1" t="s">
        <v>39</v>
      </c>
    </row>
    <row r="672" spans="1:13" x14ac:dyDescent="0.3">
      <c r="A672" s="1" t="s">
        <v>1372</v>
      </c>
      <c r="B672" s="2">
        <v>45804</v>
      </c>
      <c r="C672" s="1" t="s">
        <v>498</v>
      </c>
      <c r="D672" s="1" t="s">
        <v>499</v>
      </c>
      <c r="E672" s="1" t="s">
        <v>16</v>
      </c>
      <c r="F672" s="1" t="s">
        <v>25</v>
      </c>
      <c r="G672" s="1" t="s">
        <v>18</v>
      </c>
      <c r="H672" s="1" t="s">
        <v>122</v>
      </c>
      <c r="I672">
        <v>10</v>
      </c>
      <c r="J672">
        <v>16451.759999999998</v>
      </c>
      <c r="K672">
        <v>0.2</v>
      </c>
      <c r="L672">
        <v>3855.73</v>
      </c>
      <c r="M672" s="1" t="s">
        <v>28</v>
      </c>
    </row>
    <row r="673" spans="1:13" x14ac:dyDescent="0.3">
      <c r="A673" s="1" t="s">
        <v>1373</v>
      </c>
      <c r="B673" s="2">
        <v>45677</v>
      </c>
      <c r="C673" s="1" t="s">
        <v>1374</v>
      </c>
      <c r="D673" s="1" t="s">
        <v>1375</v>
      </c>
      <c r="E673" s="1" t="s">
        <v>43</v>
      </c>
      <c r="F673" s="1" t="s">
        <v>17</v>
      </c>
      <c r="G673" s="1" t="s">
        <v>26</v>
      </c>
      <c r="H673" s="1" t="s">
        <v>86</v>
      </c>
      <c r="I673">
        <v>6</v>
      </c>
      <c r="J673">
        <v>15584.09</v>
      </c>
      <c r="K673">
        <v>0</v>
      </c>
      <c r="L673">
        <v>3160.75</v>
      </c>
      <c r="M673" s="1" t="s">
        <v>28</v>
      </c>
    </row>
    <row r="674" spans="1:13" x14ac:dyDescent="0.3">
      <c r="A674" s="1" t="s">
        <v>1376</v>
      </c>
      <c r="B674" s="2">
        <v>45704</v>
      </c>
      <c r="C674" s="1" t="s">
        <v>255</v>
      </c>
      <c r="D674" s="1" t="s">
        <v>256</v>
      </c>
      <c r="E674" s="1" t="s">
        <v>37</v>
      </c>
      <c r="F674" s="1" t="s">
        <v>25</v>
      </c>
      <c r="G674" s="1" t="s">
        <v>26</v>
      </c>
      <c r="H674" s="1" t="s">
        <v>86</v>
      </c>
      <c r="I674">
        <v>2</v>
      </c>
      <c r="J674">
        <v>7529.48</v>
      </c>
      <c r="K674">
        <v>0.05</v>
      </c>
      <c r="L674">
        <v>2098.98</v>
      </c>
      <c r="M674" s="1" t="s">
        <v>55</v>
      </c>
    </row>
    <row r="675" spans="1:13" x14ac:dyDescent="0.3">
      <c r="A675" s="1" t="s">
        <v>1377</v>
      </c>
      <c r="B675" s="2">
        <v>45890</v>
      </c>
      <c r="C675" s="1" t="s">
        <v>92</v>
      </c>
      <c r="D675" s="1" t="s">
        <v>93</v>
      </c>
      <c r="E675" s="1" t="s">
        <v>74</v>
      </c>
      <c r="F675" s="1" t="s">
        <v>69</v>
      </c>
      <c r="G675" s="1" t="s">
        <v>18</v>
      </c>
      <c r="H675" s="1" t="s">
        <v>97</v>
      </c>
      <c r="I675">
        <v>8</v>
      </c>
      <c r="J675">
        <v>12488.1</v>
      </c>
      <c r="K675">
        <v>0.2</v>
      </c>
      <c r="L675">
        <v>3384.3</v>
      </c>
      <c r="M675" s="1" t="s">
        <v>55</v>
      </c>
    </row>
    <row r="676" spans="1:13" x14ac:dyDescent="0.3">
      <c r="A676" s="1" t="s">
        <v>1378</v>
      </c>
      <c r="B676" s="2">
        <v>45962</v>
      </c>
      <c r="C676" s="1" t="s">
        <v>335</v>
      </c>
      <c r="D676" s="1" t="s">
        <v>336</v>
      </c>
      <c r="E676" s="1" t="s">
        <v>37</v>
      </c>
      <c r="F676" s="1" t="s">
        <v>25</v>
      </c>
      <c r="G676" s="1" t="s">
        <v>32</v>
      </c>
      <c r="H676" s="1" t="s">
        <v>33</v>
      </c>
      <c r="I676">
        <v>2</v>
      </c>
      <c r="J676">
        <v>20983.22</v>
      </c>
      <c r="K676">
        <v>0.1</v>
      </c>
      <c r="L676">
        <v>4975.76</v>
      </c>
      <c r="M676" s="1" t="s">
        <v>28</v>
      </c>
    </row>
    <row r="677" spans="1:13" x14ac:dyDescent="0.3">
      <c r="A677" s="1" t="s">
        <v>1379</v>
      </c>
      <c r="B677" s="2">
        <v>45671</v>
      </c>
      <c r="C677" s="1" t="s">
        <v>1225</v>
      </c>
      <c r="D677" s="1" t="s">
        <v>1226</v>
      </c>
      <c r="E677" s="1" t="s">
        <v>24</v>
      </c>
      <c r="F677" s="1" t="s">
        <v>17</v>
      </c>
      <c r="G677" s="1" t="s">
        <v>18</v>
      </c>
      <c r="H677" s="1" t="s">
        <v>97</v>
      </c>
      <c r="I677">
        <v>7</v>
      </c>
      <c r="J677">
        <v>13775.78</v>
      </c>
      <c r="K677">
        <v>0.15</v>
      </c>
      <c r="L677">
        <v>4072.4</v>
      </c>
      <c r="M677" s="1" t="s">
        <v>55</v>
      </c>
    </row>
    <row r="678" spans="1:13" x14ac:dyDescent="0.3">
      <c r="A678" s="1" t="s">
        <v>1380</v>
      </c>
      <c r="B678" s="2">
        <v>45800</v>
      </c>
      <c r="C678" s="1" t="s">
        <v>329</v>
      </c>
      <c r="D678" s="1" t="s">
        <v>330</v>
      </c>
      <c r="E678" s="1" t="s">
        <v>74</v>
      </c>
      <c r="F678" s="1" t="s">
        <v>69</v>
      </c>
      <c r="G678" s="1" t="s">
        <v>18</v>
      </c>
      <c r="H678" s="1" t="s">
        <v>97</v>
      </c>
      <c r="I678">
        <v>5</v>
      </c>
      <c r="J678">
        <v>8933.77</v>
      </c>
      <c r="K678">
        <v>0.15</v>
      </c>
      <c r="L678">
        <v>2147.64</v>
      </c>
      <c r="M678" s="1" t="s">
        <v>39</v>
      </c>
    </row>
    <row r="679" spans="1:13" x14ac:dyDescent="0.3">
      <c r="A679" s="1" t="s">
        <v>1381</v>
      </c>
      <c r="B679" s="2">
        <v>45658</v>
      </c>
      <c r="C679" s="1" t="s">
        <v>346</v>
      </c>
      <c r="D679" s="1" t="s">
        <v>347</v>
      </c>
      <c r="E679" s="1" t="s">
        <v>16</v>
      </c>
      <c r="F679" s="1" t="s">
        <v>25</v>
      </c>
      <c r="G679" s="1" t="s">
        <v>26</v>
      </c>
      <c r="H679" s="1" t="s">
        <v>231</v>
      </c>
      <c r="I679">
        <v>9</v>
      </c>
      <c r="J679">
        <v>27686.11</v>
      </c>
      <c r="K679">
        <v>0.15</v>
      </c>
      <c r="L679">
        <v>6674.94</v>
      </c>
      <c r="M679" s="1" t="s">
        <v>50</v>
      </c>
    </row>
    <row r="680" spans="1:13" x14ac:dyDescent="0.3">
      <c r="A680" s="1" t="s">
        <v>1382</v>
      </c>
      <c r="B680" s="2">
        <v>45711</v>
      </c>
      <c r="C680" s="1" t="s">
        <v>604</v>
      </c>
      <c r="D680" s="1" t="s">
        <v>605</v>
      </c>
      <c r="E680" s="1" t="s">
        <v>37</v>
      </c>
      <c r="F680" s="1" t="s">
        <v>69</v>
      </c>
      <c r="G680" s="1" t="s">
        <v>44</v>
      </c>
      <c r="H680" s="1" t="s">
        <v>90</v>
      </c>
      <c r="I680">
        <v>6</v>
      </c>
      <c r="J680">
        <v>70732.55</v>
      </c>
      <c r="K680">
        <v>0.05</v>
      </c>
      <c r="L680">
        <v>15596.26</v>
      </c>
      <c r="M680" s="1" t="s">
        <v>20</v>
      </c>
    </row>
    <row r="681" spans="1:13" x14ac:dyDescent="0.3">
      <c r="A681" s="1" t="s">
        <v>1383</v>
      </c>
      <c r="B681" s="2">
        <v>45916</v>
      </c>
      <c r="C681" s="1" t="s">
        <v>406</v>
      </c>
      <c r="D681" s="1" t="s">
        <v>407</v>
      </c>
      <c r="E681" s="1" t="s">
        <v>43</v>
      </c>
      <c r="F681" s="1" t="s">
        <v>25</v>
      </c>
      <c r="G681" s="1" t="s">
        <v>18</v>
      </c>
      <c r="H681" s="1" t="s">
        <v>145</v>
      </c>
      <c r="I681">
        <v>8</v>
      </c>
      <c r="J681">
        <v>13039.05</v>
      </c>
      <c r="K681">
        <v>0.1</v>
      </c>
      <c r="L681">
        <v>3422.37</v>
      </c>
      <c r="M681" s="1" t="s">
        <v>39</v>
      </c>
    </row>
    <row r="682" spans="1:13" x14ac:dyDescent="0.3">
      <c r="A682" s="1" t="s">
        <v>1384</v>
      </c>
      <c r="B682" s="2">
        <v>45801</v>
      </c>
      <c r="C682" s="1" t="s">
        <v>518</v>
      </c>
      <c r="D682" s="1" t="s">
        <v>519</v>
      </c>
      <c r="E682" s="1" t="s">
        <v>24</v>
      </c>
      <c r="F682" s="1" t="s">
        <v>25</v>
      </c>
      <c r="G682" s="1" t="s">
        <v>32</v>
      </c>
      <c r="H682" s="1" t="s">
        <v>54</v>
      </c>
      <c r="I682">
        <v>3</v>
      </c>
      <c r="J682">
        <v>43189.08</v>
      </c>
      <c r="K682">
        <v>0.1</v>
      </c>
      <c r="L682">
        <v>9509.9599999999991</v>
      </c>
      <c r="M682" s="1" t="s">
        <v>50</v>
      </c>
    </row>
    <row r="683" spans="1:13" x14ac:dyDescent="0.3">
      <c r="A683" s="1" t="s">
        <v>1385</v>
      </c>
      <c r="B683" s="2">
        <v>45669</v>
      </c>
      <c r="C683" s="1" t="s">
        <v>217</v>
      </c>
      <c r="D683" s="1" t="s">
        <v>218</v>
      </c>
      <c r="E683" s="1" t="s">
        <v>74</v>
      </c>
      <c r="F683" s="1" t="s">
        <v>25</v>
      </c>
      <c r="G683" s="1" t="s">
        <v>18</v>
      </c>
      <c r="H683" s="1" t="s">
        <v>141</v>
      </c>
      <c r="I683">
        <v>7</v>
      </c>
      <c r="J683">
        <v>17196.29</v>
      </c>
      <c r="K683">
        <v>0.05</v>
      </c>
      <c r="L683">
        <v>4341.3100000000004</v>
      </c>
      <c r="M683" s="1" t="s">
        <v>55</v>
      </c>
    </row>
    <row r="684" spans="1:13" x14ac:dyDescent="0.3">
      <c r="A684" s="1" t="s">
        <v>1386</v>
      </c>
      <c r="B684" s="2">
        <v>45987</v>
      </c>
      <c r="C684" s="1" t="s">
        <v>1265</v>
      </c>
      <c r="D684" s="1" t="s">
        <v>1266</v>
      </c>
      <c r="E684" s="1" t="s">
        <v>43</v>
      </c>
      <c r="F684" s="1" t="s">
        <v>69</v>
      </c>
      <c r="G684" s="1" t="s">
        <v>32</v>
      </c>
      <c r="H684" s="1" t="s">
        <v>54</v>
      </c>
      <c r="I684">
        <v>6</v>
      </c>
      <c r="J684">
        <v>44527.34</v>
      </c>
      <c r="K684">
        <v>0.2</v>
      </c>
      <c r="L684">
        <v>8387.08</v>
      </c>
      <c r="M684" s="1" t="s">
        <v>28</v>
      </c>
    </row>
    <row r="685" spans="1:13" x14ac:dyDescent="0.3">
      <c r="A685" s="1" t="s">
        <v>1387</v>
      </c>
      <c r="B685" s="2">
        <v>45881</v>
      </c>
      <c r="C685" s="1" t="s">
        <v>147</v>
      </c>
      <c r="D685" s="1" t="s">
        <v>148</v>
      </c>
      <c r="E685" s="1" t="s">
        <v>43</v>
      </c>
      <c r="F685" s="1" t="s">
        <v>17</v>
      </c>
      <c r="G685" s="1" t="s">
        <v>18</v>
      </c>
      <c r="H685" s="1" t="s">
        <v>122</v>
      </c>
      <c r="I685">
        <v>9</v>
      </c>
      <c r="J685">
        <v>23039.01</v>
      </c>
      <c r="K685">
        <v>0</v>
      </c>
      <c r="L685">
        <v>7267.1</v>
      </c>
      <c r="M685" s="1" t="s">
        <v>20</v>
      </c>
    </row>
    <row r="686" spans="1:13" x14ac:dyDescent="0.3">
      <c r="A686" s="1" t="s">
        <v>1388</v>
      </c>
      <c r="B686" s="2">
        <v>45929</v>
      </c>
      <c r="C686" s="1" t="s">
        <v>540</v>
      </c>
      <c r="D686" s="1" t="s">
        <v>541</v>
      </c>
      <c r="E686" s="1" t="s">
        <v>37</v>
      </c>
      <c r="F686" s="1" t="s">
        <v>25</v>
      </c>
      <c r="G686" s="1" t="s">
        <v>32</v>
      </c>
      <c r="H686" s="1" t="s">
        <v>59</v>
      </c>
      <c r="I686">
        <v>9</v>
      </c>
      <c r="J686">
        <v>172752.91</v>
      </c>
      <c r="K686">
        <v>0.1</v>
      </c>
      <c r="L686">
        <v>38709.74</v>
      </c>
      <c r="M686" s="1" t="s">
        <v>39</v>
      </c>
    </row>
    <row r="687" spans="1:13" x14ac:dyDescent="0.3">
      <c r="A687" s="1" t="s">
        <v>1389</v>
      </c>
      <c r="B687" s="2">
        <v>46015</v>
      </c>
      <c r="C687" s="1" t="s">
        <v>229</v>
      </c>
      <c r="D687" s="1" t="s">
        <v>230</v>
      </c>
      <c r="E687" s="1" t="s">
        <v>24</v>
      </c>
      <c r="F687" s="1" t="s">
        <v>25</v>
      </c>
      <c r="G687" s="1" t="s">
        <v>32</v>
      </c>
      <c r="H687" s="1" t="s">
        <v>59</v>
      </c>
      <c r="I687">
        <v>8</v>
      </c>
      <c r="J687">
        <v>109016.1</v>
      </c>
      <c r="K687">
        <v>0</v>
      </c>
      <c r="L687">
        <v>23355.54</v>
      </c>
      <c r="M687" s="1" t="s">
        <v>28</v>
      </c>
    </row>
    <row r="688" spans="1:13" x14ac:dyDescent="0.3">
      <c r="A688" s="1" t="s">
        <v>1390</v>
      </c>
      <c r="B688" s="2">
        <v>45813</v>
      </c>
      <c r="C688" s="1" t="s">
        <v>84</v>
      </c>
      <c r="D688" s="1" t="s">
        <v>85</v>
      </c>
      <c r="E688" s="1" t="s">
        <v>43</v>
      </c>
      <c r="F688" s="1" t="s">
        <v>25</v>
      </c>
      <c r="G688" s="1" t="s">
        <v>18</v>
      </c>
      <c r="H688" s="1" t="s">
        <v>122</v>
      </c>
      <c r="I688">
        <v>9</v>
      </c>
      <c r="J688">
        <v>12753.27</v>
      </c>
      <c r="K688">
        <v>0.2</v>
      </c>
      <c r="L688">
        <v>4088.17</v>
      </c>
      <c r="M688" s="1" t="s">
        <v>28</v>
      </c>
    </row>
    <row r="689" spans="1:13" x14ac:dyDescent="0.3">
      <c r="A689" s="1" t="s">
        <v>1391</v>
      </c>
      <c r="B689" s="2">
        <v>45665</v>
      </c>
      <c r="C689" s="1" t="s">
        <v>166</v>
      </c>
      <c r="D689" s="1" t="s">
        <v>167</v>
      </c>
      <c r="E689" s="1" t="s">
        <v>37</v>
      </c>
      <c r="F689" s="1" t="s">
        <v>25</v>
      </c>
      <c r="G689" s="1" t="s">
        <v>18</v>
      </c>
      <c r="H689" s="1" t="s">
        <v>19</v>
      </c>
      <c r="I689">
        <v>7</v>
      </c>
      <c r="J689">
        <v>16910.87</v>
      </c>
      <c r="K689">
        <v>0.05</v>
      </c>
      <c r="L689">
        <v>5263.36</v>
      </c>
      <c r="M689" s="1" t="s">
        <v>20</v>
      </c>
    </row>
    <row r="690" spans="1:13" x14ac:dyDescent="0.3">
      <c r="A690" s="1" t="s">
        <v>1392</v>
      </c>
      <c r="B690" s="2">
        <v>45779</v>
      </c>
      <c r="C690" s="1" t="s">
        <v>1301</v>
      </c>
      <c r="D690" s="1" t="s">
        <v>1302</v>
      </c>
      <c r="E690" s="1" t="s">
        <v>43</v>
      </c>
      <c r="F690" s="1" t="s">
        <v>17</v>
      </c>
      <c r="G690" s="1" t="s">
        <v>26</v>
      </c>
      <c r="H690" s="1" t="s">
        <v>27</v>
      </c>
      <c r="I690">
        <v>1</v>
      </c>
      <c r="J690">
        <v>1921.62</v>
      </c>
      <c r="K690">
        <v>0</v>
      </c>
      <c r="L690">
        <v>522.75</v>
      </c>
      <c r="M690" s="1" t="s">
        <v>55</v>
      </c>
    </row>
    <row r="691" spans="1:13" x14ac:dyDescent="0.3">
      <c r="A691" s="1" t="s">
        <v>1393</v>
      </c>
      <c r="B691" s="2">
        <v>46005</v>
      </c>
      <c r="C691" s="1" t="s">
        <v>510</v>
      </c>
      <c r="D691" s="1" t="s">
        <v>511</v>
      </c>
      <c r="E691" s="1" t="s">
        <v>74</v>
      </c>
      <c r="F691" s="1" t="s">
        <v>25</v>
      </c>
      <c r="G691" s="1" t="s">
        <v>32</v>
      </c>
      <c r="H691" s="1" t="s">
        <v>33</v>
      </c>
      <c r="I691">
        <v>2</v>
      </c>
      <c r="J691">
        <v>25148.43</v>
      </c>
      <c r="K691">
        <v>0.1</v>
      </c>
      <c r="L691">
        <v>6527.64</v>
      </c>
      <c r="M691" s="1" t="s">
        <v>28</v>
      </c>
    </row>
    <row r="692" spans="1:13" x14ac:dyDescent="0.3">
      <c r="A692" s="1" t="s">
        <v>1394</v>
      </c>
      <c r="B692" s="2">
        <v>45821</v>
      </c>
      <c r="C692" s="1" t="s">
        <v>674</v>
      </c>
      <c r="D692" s="1" t="s">
        <v>675</v>
      </c>
      <c r="E692" s="1" t="s">
        <v>24</v>
      </c>
      <c r="F692" s="1" t="s">
        <v>25</v>
      </c>
      <c r="G692" s="1" t="s">
        <v>32</v>
      </c>
      <c r="H692" s="1" t="s">
        <v>79</v>
      </c>
      <c r="I692">
        <v>5</v>
      </c>
      <c r="J692">
        <v>38351.1</v>
      </c>
      <c r="K692">
        <v>0.15</v>
      </c>
      <c r="L692">
        <v>8843.82</v>
      </c>
      <c r="M692" s="1" t="s">
        <v>50</v>
      </c>
    </row>
    <row r="693" spans="1:13" x14ac:dyDescent="0.3">
      <c r="A693" s="1" t="s">
        <v>1395</v>
      </c>
      <c r="B693" s="2">
        <v>45747</v>
      </c>
      <c r="C693" s="1" t="s">
        <v>1158</v>
      </c>
      <c r="D693" s="1" t="s">
        <v>1159</v>
      </c>
      <c r="E693" s="1" t="s">
        <v>24</v>
      </c>
      <c r="F693" s="1" t="s">
        <v>25</v>
      </c>
      <c r="G693" s="1" t="s">
        <v>32</v>
      </c>
      <c r="H693" s="1" t="s">
        <v>54</v>
      </c>
      <c r="I693">
        <v>1</v>
      </c>
      <c r="J693">
        <v>16549.95</v>
      </c>
      <c r="K693">
        <v>0.2</v>
      </c>
      <c r="L693">
        <v>3731.73</v>
      </c>
      <c r="M693" s="1" t="s">
        <v>55</v>
      </c>
    </row>
    <row r="694" spans="1:13" x14ac:dyDescent="0.3">
      <c r="A694" s="1" t="s">
        <v>1396</v>
      </c>
      <c r="B694" s="2">
        <v>45793</v>
      </c>
      <c r="C694" s="1" t="s">
        <v>105</v>
      </c>
      <c r="D694" s="1" t="s">
        <v>106</v>
      </c>
      <c r="E694" s="1" t="s">
        <v>43</v>
      </c>
      <c r="F694" s="1" t="s">
        <v>69</v>
      </c>
      <c r="G694" s="1" t="s">
        <v>26</v>
      </c>
      <c r="H694" s="1" t="s">
        <v>49</v>
      </c>
      <c r="I694">
        <v>10</v>
      </c>
      <c r="J694">
        <v>39325.57</v>
      </c>
      <c r="K694">
        <v>0.15</v>
      </c>
      <c r="L694">
        <v>9237.7800000000007</v>
      </c>
      <c r="M694" s="1" t="s">
        <v>39</v>
      </c>
    </row>
    <row r="695" spans="1:13" x14ac:dyDescent="0.3">
      <c r="A695" s="1" t="s">
        <v>1397</v>
      </c>
      <c r="B695" s="2">
        <v>45843</v>
      </c>
      <c r="C695" s="1" t="s">
        <v>1301</v>
      </c>
      <c r="D695" s="1" t="s">
        <v>1302</v>
      </c>
      <c r="E695" s="1" t="s">
        <v>24</v>
      </c>
      <c r="F695" s="1" t="s">
        <v>25</v>
      </c>
      <c r="G695" s="1" t="s">
        <v>26</v>
      </c>
      <c r="H695" s="1" t="s">
        <v>49</v>
      </c>
      <c r="I695">
        <v>1</v>
      </c>
      <c r="J695">
        <v>1511.9</v>
      </c>
      <c r="K695">
        <v>0.2</v>
      </c>
      <c r="L695">
        <v>428.32</v>
      </c>
      <c r="M695" s="1" t="s">
        <v>28</v>
      </c>
    </row>
    <row r="696" spans="1:13" x14ac:dyDescent="0.3">
      <c r="A696" s="1" t="s">
        <v>1398</v>
      </c>
      <c r="B696" s="2">
        <v>45973</v>
      </c>
      <c r="C696" s="1" t="s">
        <v>169</v>
      </c>
      <c r="D696" s="1" t="s">
        <v>170</v>
      </c>
      <c r="E696" s="1" t="s">
        <v>24</v>
      </c>
      <c r="F696" s="1" t="s">
        <v>17</v>
      </c>
      <c r="G696" s="1" t="s">
        <v>44</v>
      </c>
      <c r="H696" s="1" t="s">
        <v>155</v>
      </c>
      <c r="I696">
        <v>7</v>
      </c>
      <c r="J696">
        <v>31393.9</v>
      </c>
      <c r="K696">
        <v>0.15</v>
      </c>
      <c r="L696">
        <v>7134.66</v>
      </c>
      <c r="M696" s="1" t="s">
        <v>50</v>
      </c>
    </row>
    <row r="697" spans="1:13" x14ac:dyDescent="0.3">
      <c r="A697" s="1" t="s">
        <v>1399</v>
      </c>
      <c r="B697" s="2">
        <v>45835</v>
      </c>
      <c r="C697" s="1" t="s">
        <v>823</v>
      </c>
      <c r="D697" s="1" t="s">
        <v>824</v>
      </c>
      <c r="E697" s="1" t="s">
        <v>24</v>
      </c>
      <c r="F697" s="1" t="s">
        <v>25</v>
      </c>
      <c r="G697" s="1" t="s">
        <v>32</v>
      </c>
      <c r="H697" s="1" t="s">
        <v>33</v>
      </c>
      <c r="I697">
        <v>3</v>
      </c>
      <c r="J697">
        <v>29677.19</v>
      </c>
      <c r="K697">
        <v>0.05</v>
      </c>
      <c r="L697">
        <v>7235.75</v>
      </c>
      <c r="M697" s="1" t="s">
        <v>28</v>
      </c>
    </row>
    <row r="698" spans="1:13" x14ac:dyDescent="0.3">
      <c r="A698" s="1" t="s">
        <v>1400</v>
      </c>
      <c r="B698" s="2">
        <v>45685</v>
      </c>
      <c r="C698" s="1" t="s">
        <v>431</v>
      </c>
      <c r="D698" s="1" t="s">
        <v>432</v>
      </c>
      <c r="E698" s="1" t="s">
        <v>74</v>
      </c>
      <c r="F698" s="1" t="s">
        <v>25</v>
      </c>
      <c r="G698" s="1" t="s">
        <v>18</v>
      </c>
      <c r="H698" s="1" t="s">
        <v>141</v>
      </c>
      <c r="I698">
        <v>5</v>
      </c>
      <c r="J698">
        <v>7056.52</v>
      </c>
      <c r="K698">
        <v>0</v>
      </c>
      <c r="L698">
        <v>1812.47</v>
      </c>
      <c r="M698" s="1" t="s">
        <v>50</v>
      </c>
    </row>
    <row r="699" spans="1:13" x14ac:dyDescent="0.3">
      <c r="A699" s="1" t="s">
        <v>1401</v>
      </c>
      <c r="B699" s="2">
        <v>45877</v>
      </c>
      <c r="C699" s="1" t="s">
        <v>1402</v>
      </c>
      <c r="D699" s="1" t="s">
        <v>1403</v>
      </c>
      <c r="E699" s="1" t="s">
        <v>24</v>
      </c>
      <c r="F699" s="1" t="s">
        <v>69</v>
      </c>
      <c r="G699" s="1" t="s">
        <v>18</v>
      </c>
      <c r="H699" s="1" t="s">
        <v>122</v>
      </c>
      <c r="I699">
        <v>3</v>
      </c>
      <c r="J699">
        <v>4884.0600000000004</v>
      </c>
      <c r="K699">
        <v>0.1</v>
      </c>
      <c r="L699">
        <v>1468.46</v>
      </c>
      <c r="M699" s="1" t="s">
        <v>39</v>
      </c>
    </row>
    <row r="700" spans="1:13" x14ac:dyDescent="0.3">
      <c r="A700" s="1" t="s">
        <v>1404</v>
      </c>
      <c r="B700" s="2">
        <v>46014</v>
      </c>
      <c r="C700" s="1" t="s">
        <v>929</v>
      </c>
      <c r="D700" s="1" t="s">
        <v>930</v>
      </c>
      <c r="E700" s="1" t="s">
        <v>74</v>
      </c>
      <c r="F700" s="1" t="s">
        <v>25</v>
      </c>
      <c r="G700" s="1" t="s">
        <v>18</v>
      </c>
      <c r="H700" s="1" t="s">
        <v>141</v>
      </c>
      <c r="I700">
        <v>10</v>
      </c>
      <c r="J700">
        <v>9577.7000000000007</v>
      </c>
      <c r="K700">
        <v>0.15</v>
      </c>
      <c r="L700">
        <v>2371.52</v>
      </c>
      <c r="M700" s="1" t="s">
        <v>50</v>
      </c>
    </row>
    <row r="701" spans="1:13" x14ac:dyDescent="0.3">
      <c r="A701" s="1" t="s">
        <v>1405</v>
      </c>
      <c r="B701" s="2">
        <v>45698</v>
      </c>
      <c r="C701" s="1" t="s">
        <v>77</v>
      </c>
      <c r="D701" s="1" t="s">
        <v>78</v>
      </c>
      <c r="E701" s="1" t="s">
        <v>43</v>
      </c>
      <c r="F701" s="1" t="s">
        <v>25</v>
      </c>
      <c r="G701" s="1" t="s">
        <v>44</v>
      </c>
      <c r="H701" s="1" t="s">
        <v>75</v>
      </c>
      <c r="I701">
        <v>1</v>
      </c>
      <c r="J701">
        <v>11567.16</v>
      </c>
      <c r="K701">
        <v>0.05</v>
      </c>
      <c r="L701">
        <v>2493.4699999999998</v>
      </c>
      <c r="M701" s="1" t="s">
        <v>55</v>
      </c>
    </row>
    <row r="702" spans="1:13" x14ac:dyDescent="0.3">
      <c r="A702" s="1" t="s">
        <v>1406</v>
      </c>
      <c r="B702" s="2">
        <v>45885</v>
      </c>
      <c r="C702" s="1" t="s">
        <v>1165</v>
      </c>
      <c r="D702" s="1" t="s">
        <v>1166</v>
      </c>
      <c r="E702" s="1" t="s">
        <v>37</v>
      </c>
      <c r="F702" s="1" t="s">
        <v>25</v>
      </c>
      <c r="G702" s="1" t="s">
        <v>32</v>
      </c>
      <c r="H702" s="1" t="s">
        <v>54</v>
      </c>
      <c r="I702">
        <v>10</v>
      </c>
      <c r="J702">
        <v>112828.92</v>
      </c>
      <c r="K702">
        <v>0.05</v>
      </c>
      <c r="L702">
        <v>21026.89</v>
      </c>
      <c r="M702" s="1" t="s">
        <v>55</v>
      </c>
    </row>
    <row r="703" spans="1:13" x14ac:dyDescent="0.3">
      <c r="A703" s="1" t="s">
        <v>1407</v>
      </c>
      <c r="B703" s="2">
        <v>45849</v>
      </c>
      <c r="C703" s="1" t="s">
        <v>988</v>
      </c>
      <c r="D703" s="1" t="s">
        <v>989</v>
      </c>
      <c r="E703" s="1" t="s">
        <v>43</v>
      </c>
      <c r="F703" s="1" t="s">
        <v>25</v>
      </c>
      <c r="G703" s="1" t="s">
        <v>32</v>
      </c>
      <c r="H703" s="1" t="s">
        <v>33</v>
      </c>
      <c r="I703">
        <v>7</v>
      </c>
      <c r="J703">
        <v>94109.55</v>
      </c>
      <c r="K703">
        <v>0.15</v>
      </c>
      <c r="L703">
        <v>18660.849999999999</v>
      </c>
      <c r="M703" s="1" t="s">
        <v>20</v>
      </c>
    </row>
    <row r="704" spans="1:13" x14ac:dyDescent="0.3">
      <c r="A704" s="1" t="s">
        <v>1408</v>
      </c>
      <c r="B704" s="2">
        <v>45802</v>
      </c>
      <c r="C704" s="1" t="s">
        <v>1255</v>
      </c>
      <c r="D704" s="1" t="s">
        <v>1256</v>
      </c>
      <c r="E704" s="1" t="s">
        <v>16</v>
      </c>
      <c r="F704" s="1" t="s">
        <v>69</v>
      </c>
      <c r="G704" s="1" t="s">
        <v>32</v>
      </c>
      <c r="H704" s="1" t="s">
        <v>59</v>
      </c>
      <c r="I704">
        <v>5</v>
      </c>
      <c r="J704">
        <v>40671.93</v>
      </c>
      <c r="K704">
        <v>0.05</v>
      </c>
      <c r="L704">
        <v>10554.5</v>
      </c>
      <c r="M704" s="1" t="s">
        <v>50</v>
      </c>
    </row>
    <row r="705" spans="1:13" x14ac:dyDescent="0.3">
      <c r="A705" s="1" t="s">
        <v>1409</v>
      </c>
      <c r="B705" s="2">
        <v>45858</v>
      </c>
      <c r="C705" s="1" t="s">
        <v>303</v>
      </c>
      <c r="D705" s="1" t="s">
        <v>304</v>
      </c>
      <c r="E705" s="1" t="s">
        <v>74</v>
      </c>
      <c r="F705" s="1" t="s">
        <v>69</v>
      </c>
      <c r="G705" s="1" t="s">
        <v>32</v>
      </c>
      <c r="H705" s="1" t="s">
        <v>79</v>
      </c>
      <c r="I705">
        <v>4</v>
      </c>
      <c r="J705">
        <v>53583.77</v>
      </c>
      <c r="K705">
        <v>0.1</v>
      </c>
      <c r="L705">
        <v>10892.16</v>
      </c>
      <c r="M705" s="1" t="s">
        <v>28</v>
      </c>
    </row>
    <row r="706" spans="1:13" x14ac:dyDescent="0.3">
      <c r="A706" s="1" t="s">
        <v>1410</v>
      </c>
      <c r="B706" s="2">
        <v>45869</v>
      </c>
      <c r="C706" s="1" t="s">
        <v>239</v>
      </c>
      <c r="D706" s="1" t="s">
        <v>240</v>
      </c>
      <c r="E706" s="1" t="s">
        <v>24</v>
      </c>
      <c r="F706" s="1" t="s">
        <v>25</v>
      </c>
      <c r="G706" s="1" t="s">
        <v>32</v>
      </c>
      <c r="H706" s="1" t="s">
        <v>38</v>
      </c>
      <c r="I706">
        <v>5</v>
      </c>
      <c r="J706">
        <v>50862.87</v>
      </c>
      <c r="K706">
        <v>0.15</v>
      </c>
      <c r="L706">
        <v>13041.01</v>
      </c>
      <c r="M706" s="1" t="s">
        <v>28</v>
      </c>
    </row>
    <row r="707" spans="1:13" x14ac:dyDescent="0.3">
      <c r="A707" s="1" t="s">
        <v>1411</v>
      </c>
      <c r="B707" s="2">
        <v>45877</v>
      </c>
      <c r="C707" s="1" t="s">
        <v>223</v>
      </c>
      <c r="D707" s="1" t="s">
        <v>224</v>
      </c>
      <c r="E707" s="1" t="s">
        <v>74</v>
      </c>
      <c r="F707" s="1" t="s">
        <v>25</v>
      </c>
      <c r="G707" s="1" t="s">
        <v>32</v>
      </c>
      <c r="H707" s="1" t="s">
        <v>79</v>
      </c>
      <c r="I707">
        <v>4</v>
      </c>
      <c r="J707">
        <v>47394.97</v>
      </c>
      <c r="K707">
        <v>0.1</v>
      </c>
      <c r="L707">
        <v>10280.81</v>
      </c>
      <c r="M707" s="1" t="s">
        <v>55</v>
      </c>
    </row>
    <row r="708" spans="1:13" x14ac:dyDescent="0.3">
      <c r="A708" s="1" t="s">
        <v>1412</v>
      </c>
      <c r="B708" s="2">
        <v>45897</v>
      </c>
      <c r="C708" s="1" t="s">
        <v>208</v>
      </c>
      <c r="D708" s="1" t="s">
        <v>209</v>
      </c>
      <c r="E708" s="1" t="s">
        <v>43</v>
      </c>
      <c r="F708" s="1" t="s">
        <v>69</v>
      </c>
      <c r="G708" s="1" t="s">
        <v>32</v>
      </c>
      <c r="H708" s="1" t="s">
        <v>54</v>
      </c>
      <c r="I708">
        <v>1</v>
      </c>
      <c r="J708">
        <v>13434.36</v>
      </c>
      <c r="K708">
        <v>0.05</v>
      </c>
      <c r="L708">
        <v>2566.46</v>
      </c>
      <c r="M708" s="1" t="s">
        <v>28</v>
      </c>
    </row>
    <row r="709" spans="1:13" x14ac:dyDescent="0.3">
      <c r="A709" s="1" t="s">
        <v>1413</v>
      </c>
      <c r="B709" s="2">
        <v>45703</v>
      </c>
      <c r="C709" s="1" t="s">
        <v>95</v>
      </c>
      <c r="D709" s="1" t="s">
        <v>96</v>
      </c>
      <c r="E709" s="1" t="s">
        <v>16</v>
      </c>
      <c r="F709" s="1" t="s">
        <v>25</v>
      </c>
      <c r="G709" s="1" t="s">
        <v>26</v>
      </c>
      <c r="H709" s="1" t="s">
        <v>244</v>
      </c>
      <c r="I709">
        <v>10</v>
      </c>
      <c r="J709">
        <v>38169.56</v>
      </c>
      <c r="K709">
        <v>0.1</v>
      </c>
      <c r="L709">
        <v>10510.41</v>
      </c>
      <c r="M709" s="1" t="s">
        <v>39</v>
      </c>
    </row>
    <row r="710" spans="1:13" x14ac:dyDescent="0.3">
      <c r="A710" s="1" t="s">
        <v>1414</v>
      </c>
      <c r="B710" s="2">
        <v>45692</v>
      </c>
      <c r="C710" s="1" t="s">
        <v>1269</v>
      </c>
      <c r="D710" s="1" t="s">
        <v>1270</v>
      </c>
      <c r="E710" s="1" t="s">
        <v>74</v>
      </c>
      <c r="F710" s="1" t="s">
        <v>25</v>
      </c>
      <c r="G710" s="1" t="s">
        <v>44</v>
      </c>
      <c r="H710" s="1" t="s">
        <v>45</v>
      </c>
      <c r="I710">
        <v>5</v>
      </c>
      <c r="J710">
        <v>28483.200000000001</v>
      </c>
      <c r="K710">
        <v>0.1</v>
      </c>
      <c r="L710">
        <v>4947.95</v>
      </c>
      <c r="M710" s="1" t="s">
        <v>28</v>
      </c>
    </row>
    <row r="711" spans="1:13" x14ac:dyDescent="0.3">
      <c r="A711" s="1" t="s">
        <v>1415</v>
      </c>
      <c r="B711" s="2">
        <v>45910</v>
      </c>
      <c r="C711" s="1" t="s">
        <v>624</v>
      </c>
      <c r="D711" s="1" t="s">
        <v>625</v>
      </c>
      <c r="E711" s="1" t="s">
        <v>16</v>
      </c>
      <c r="F711" s="1" t="s">
        <v>17</v>
      </c>
      <c r="G711" s="1" t="s">
        <v>44</v>
      </c>
      <c r="H711" s="1" t="s">
        <v>90</v>
      </c>
      <c r="I711">
        <v>3</v>
      </c>
      <c r="J711">
        <v>25848.66</v>
      </c>
      <c r="K711">
        <v>0.05</v>
      </c>
      <c r="L711">
        <v>4024.88</v>
      </c>
      <c r="M711" s="1" t="s">
        <v>55</v>
      </c>
    </row>
    <row r="712" spans="1:13" x14ac:dyDescent="0.3">
      <c r="A712" s="1" t="s">
        <v>1416</v>
      </c>
      <c r="B712" s="2">
        <v>45739</v>
      </c>
      <c r="C712" s="1" t="s">
        <v>14</v>
      </c>
      <c r="D712" s="1" t="s">
        <v>15</v>
      </c>
      <c r="E712" s="1" t="s">
        <v>24</v>
      </c>
      <c r="F712" s="1" t="s">
        <v>25</v>
      </c>
      <c r="G712" s="1" t="s">
        <v>18</v>
      </c>
      <c r="H712" s="1" t="s">
        <v>141</v>
      </c>
      <c r="I712">
        <v>6</v>
      </c>
      <c r="J712">
        <v>12729.17</v>
      </c>
      <c r="K712">
        <v>0.15</v>
      </c>
      <c r="L712">
        <v>3709.5</v>
      </c>
      <c r="M712" s="1" t="s">
        <v>55</v>
      </c>
    </row>
    <row r="713" spans="1:13" x14ac:dyDescent="0.3">
      <c r="A713" s="1" t="s">
        <v>1417</v>
      </c>
      <c r="B713" s="2">
        <v>45913</v>
      </c>
      <c r="C713" s="1" t="s">
        <v>326</v>
      </c>
      <c r="D713" s="1" t="s">
        <v>327</v>
      </c>
      <c r="E713" s="1" t="s">
        <v>74</v>
      </c>
      <c r="F713" s="1" t="s">
        <v>25</v>
      </c>
      <c r="G713" s="1" t="s">
        <v>26</v>
      </c>
      <c r="H713" s="1" t="s">
        <v>49</v>
      </c>
      <c r="I713">
        <v>4</v>
      </c>
      <c r="J713">
        <v>15582.92</v>
      </c>
      <c r="K713">
        <v>0</v>
      </c>
      <c r="L713">
        <v>4474.72</v>
      </c>
      <c r="M713" s="1" t="s">
        <v>55</v>
      </c>
    </row>
    <row r="714" spans="1:13" x14ac:dyDescent="0.3">
      <c r="A714" s="1" t="s">
        <v>1418</v>
      </c>
      <c r="B714" s="2">
        <v>45854</v>
      </c>
      <c r="C714" s="1" t="s">
        <v>661</v>
      </c>
      <c r="D714" s="1" t="s">
        <v>662</v>
      </c>
      <c r="E714" s="1" t="s">
        <v>74</v>
      </c>
      <c r="F714" s="1" t="s">
        <v>69</v>
      </c>
      <c r="G714" s="1" t="s">
        <v>18</v>
      </c>
      <c r="H714" s="1" t="s">
        <v>97</v>
      </c>
      <c r="I714">
        <v>1</v>
      </c>
      <c r="J714">
        <v>2055.91</v>
      </c>
      <c r="K714">
        <v>0.2</v>
      </c>
      <c r="L714">
        <v>669.78</v>
      </c>
      <c r="M714" s="1" t="s">
        <v>20</v>
      </c>
    </row>
    <row r="715" spans="1:13" x14ac:dyDescent="0.3">
      <c r="A715" s="1" t="s">
        <v>1419</v>
      </c>
      <c r="B715" s="2">
        <v>45960</v>
      </c>
      <c r="C715" s="1" t="s">
        <v>494</v>
      </c>
      <c r="D715" s="1" t="s">
        <v>495</v>
      </c>
      <c r="E715" s="1" t="s">
        <v>16</v>
      </c>
      <c r="F715" s="1" t="s">
        <v>25</v>
      </c>
      <c r="G715" s="1" t="s">
        <v>26</v>
      </c>
      <c r="H715" s="1" t="s">
        <v>244</v>
      </c>
      <c r="I715">
        <v>2</v>
      </c>
      <c r="J715">
        <v>4149.2299999999996</v>
      </c>
      <c r="K715">
        <v>0.15</v>
      </c>
      <c r="L715">
        <v>1038.81</v>
      </c>
      <c r="M715" s="1" t="s">
        <v>20</v>
      </c>
    </row>
    <row r="716" spans="1:13" x14ac:dyDescent="0.3">
      <c r="A716" s="1" t="s">
        <v>1420</v>
      </c>
      <c r="B716" s="2">
        <v>45667</v>
      </c>
      <c r="C716" s="1" t="s">
        <v>1421</v>
      </c>
      <c r="D716" s="1" t="s">
        <v>1422</v>
      </c>
      <c r="E716" s="1" t="s">
        <v>24</v>
      </c>
      <c r="F716" s="1" t="s">
        <v>69</v>
      </c>
      <c r="G716" s="1" t="s">
        <v>26</v>
      </c>
      <c r="H716" s="1" t="s">
        <v>86</v>
      </c>
      <c r="I716">
        <v>9</v>
      </c>
      <c r="J716">
        <v>16641.09</v>
      </c>
      <c r="K716">
        <v>0.15</v>
      </c>
      <c r="L716">
        <v>4903.09</v>
      </c>
      <c r="M716" s="1" t="s">
        <v>55</v>
      </c>
    </row>
    <row r="717" spans="1:13" x14ac:dyDescent="0.3">
      <c r="A717" s="1" t="s">
        <v>1423</v>
      </c>
      <c r="B717" s="2">
        <v>45969</v>
      </c>
      <c r="C717" s="1" t="s">
        <v>363</v>
      </c>
      <c r="D717" s="1" t="s">
        <v>364</v>
      </c>
      <c r="E717" s="1" t="s">
        <v>16</v>
      </c>
      <c r="F717" s="1" t="s">
        <v>17</v>
      </c>
      <c r="G717" s="1" t="s">
        <v>18</v>
      </c>
      <c r="H717" s="1" t="s">
        <v>97</v>
      </c>
      <c r="I717">
        <v>5</v>
      </c>
      <c r="J717">
        <v>7045.98</v>
      </c>
      <c r="K717">
        <v>0.25</v>
      </c>
      <c r="L717">
        <v>2162.86</v>
      </c>
      <c r="M717" s="1" t="s">
        <v>55</v>
      </c>
    </row>
    <row r="718" spans="1:13" x14ac:dyDescent="0.3">
      <c r="A718" s="1" t="s">
        <v>1424</v>
      </c>
      <c r="B718" s="2">
        <v>45943</v>
      </c>
      <c r="C718" s="1" t="s">
        <v>515</v>
      </c>
      <c r="D718" s="1" t="s">
        <v>516</v>
      </c>
      <c r="E718" s="1" t="s">
        <v>24</v>
      </c>
      <c r="F718" s="1" t="s">
        <v>69</v>
      </c>
      <c r="G718" s="1" t="s">
        <v>18</v>
      </c>
      <c r="H718" s="1" t="s">
        <v>97</v>
      </c>
      <c r="I718">
        <v>3</v>
      </c>
      <c r="J718">
        <v>4014.45</v>
      </c>
      <c r="K718">
        <v>0.15</v>
      </c>
      <c r="L718">
        <v>1187.3900000000001</v>
      </c>
      <c r="M718" s="1" t="s">
        <v>39</v>
      </c>
    </row>
    <row r="719" spans="1:13" x14ac:dyDescent="0.3">
      <c r="A719" s="1" t="s">
        <v>1425</v>
      </c>
      <c r="B719" s="2">
        <v>45899</v>
      </c>
      <c r="C719" s="1" t="s">
        <v>261</v>
      </c>
      <c r="D719" s="1" t="s">
        <v>262</v>
      </c>
      <c r="E719" s="1" t="s">
        <v>43</v>
      </c>
      <c r="F719" s="1" t="s">
        <v>69</v>
      </c>
      <c r="G719" s="1" t="s">
        <v>26</v>
      </c>
      <c r="H719" s="1" t="s">
        <v>244</v>
      </c>
      <c r="I719">
        <v>8</v>
      </c>
      <c r="J719">
        <v>32163.040000000001</v>
      </c>
      <c r="K719">
        <v>0.1</v>
      </c>
      <c r="L719">
        <v>7308.22</v>
      </c>
      <c r="M719" s="1" t="s">
        <v>55</v>
      </c>
    </row>
    <row r="720" spans="1:13" x14ac:dyDescent="0.3">
      <c r="A720" s="1" t="s">
        <v>1426</v>
      </c>
      <c r="B720" s="2">
        <v>45908</v>
      </c>
      <c r="C720" s="1" t="s">
        <v>196</v>
      </c>
      <c r="D720" s="1" t="s">
        <v>197</v>
      </c>
      <c r="E720" s="1" t="s">
        <v>16</v>
      </c>
      <c r="F720" s="1" t="s">
        <v>69</v>
      </c>
      <c r="G720" s="1" t="s">
        <v>26</v>
      </c>
      <c r="H720" s="1" t="s">
        <v>231</v>
      </c>
      <c r="I720">
        <v>8</v>
      </c>
      <c r="J720">
        <v>21995.22</v>
      </c>
      <c r="K720">
        <v>0.1</v>
      </c>
      <c r="L720">
        <v>4821.07</v>
      </c>
      <c r="M720" s="1" t="s">
        <v>28</v>
      </c>
    </row>
    <row r="721" spans="1:13" x14ac:dyDescent="0.3">
      <c r="A721" s="1" t="s">
        <v>1427</v>
      </c>
      <c r="B721" s="2">
        <v>46022</v>
      </c>
      <c r="C721" s="1" t="s">
        <v>1269</v>
      </c>
      <c r="D721" s="1" t="s">
        <v>1270</v>
      </c>
      <c r="E721" s="1" t="s">
        <v>24</v>
      </c>
      <c r="F721" s="1" t="s">
        <v>25</v>
      </c>
      <c r="G721" s="1" t="s">
        <v>44</v>
      </c>
      <c r="H721" s="1" t="s">
        <v>155</v>
      </c>
      <c r="I721">
        <v>9</v>
      </c>
      <c r="J721">
        <v>54896.88</v>
      </c>
      <c r="K721">
        <v>0.2</v>
      </c>
      <c r="L721">
        <v>11000.99</v>
      </c>
      <c r="M721" s="1" t="s">
        <v>39</v>
      </c>
    </row>
    <row r="722" spans="1:13" x14ac:dyDescent="0.3">
      <c r="A722" s="1" t="s">
        <v>1428</v>
      </c>
      <c r="B722" s="2">
        <v>45662</v>
      </c>
      <c r="C722" s="1" t="s">
        <v>1141</v>
      </c>
      <c r="D722" s="1" t="s">
        <v>1142</v>
      </c>
      <c r="E722" s="1" t="s">
        <v>74</v>
      </c>
      <c r="F722" s="1" t="s">
        <v>25</v>
      </c>
      <c r="G722" s="1" t="s">
        <v>18</v>
      </c>
      <c r="H722" s="1" t="s">
        <v>122</v>
      </c>
      <c r="I722">
        <v>9</v>
      </c>
      <c r="J722">
        <v>10769.26</v>
      </c>
      <c r="K722">
        <v>0.1</v>
      </c>
      <c r="L722">
        <v>3046.18</v>
      </c>
      <c r="M722" s="1" t="s">
        <v>20</v>
      </c>
    </row>
    <row r="723" spans="1:13" x14ac:dyDescent="0.3">
      <c r="A723" s="1" t="s">
        <v>1429</v>
      </c>
      <c r="B723" s="2">
        <v>45776</v>
      </c>
      <c r="C723" s="1" t="s">
        <v>1222</v>
      </c>
      <c r="D723" s="1" t="s">
        <v>1223</v>
      </c>
      <c r="E723" s="1" t="s">
        <v>24</v>
      </c>
      <c r="F723" s="1" t="s">
        <v>25</v>
      </c>
      <c r="G723" s="1" t="s">
        <v>44</v>
      </c>
      <c r="H723" s="1" t="s">
        <v>70</v>
      </c>
      <c r="I723">
        <v>7</v>
      </c>
      <c r="J723">
        <v>56413.88</v>
      </c>
      <c r="K723">
        <v>0.1</v>
      </c>
      <c r="L723">
        <v>12028.79</v>
      </c>
      <c r="M723" s="1" t="s">
        <v>28</v>
      </c>
    </row>
    <row r="724" spans="1:13" x14ac:dyDescent="0.3">
      <c r="A724" s="1" t="s">
        <v>1430</v>
      </c>
      <c r="B724" s="2">
        <v>45946</v>
      </c>
      <c r="C724" s="1" t="s">
        <v>671</v>
      </c>
      <c r="D724" s="1" t="s">
        <v>672</v>
      </c>
      <c r="E724" s="1" t="s">
        <v>24</v>
      </c>
      <c r="F724" s="1" t="s">
        <v>17</v>
      </c>
      <c r="G724" s="1" t="s">
        <v>44</v>
      </c>
      <c r="H724" s="1" t="s">
        <v>155</v>
      </c>
      <c r="I724">
        <v>10</v>
      </c>
      <c r="J724">
        <v>72507.360000000001</v>
      </c>
      <c r="K724">
        <v>0.1</v>
      </c>
      <c r="L724">
        <v>11048.52</v>
      </c>
      <c r="M724" s="1" t="s">
        <v>39</v>
      </c>
    </row>
    <row r="725" spans="1:13" x14ac:dyDescent="0.3">
      <c r="A725" s="1" t="s">
        <v>1431</v>
      </c>
      <c r="B725" s="2">
        <v>45722</v>
      </c>
      <c r="C725" s="1" t="s">
        <v>1182</v>
      </c>
      <c r="D725" s="1" t="s">
        <v>1183</v>
      </c>
      <c r="E725" s="1" t="s">
        <v>74</v>
      </c>
      <c r="F725" s="1" t="s">
        <v>69</v>
      </c>
      <c r="G725" s="1" t="s">
        <v>18</v>
      </c>
      <c r="H725" s="1" t="s">
        <v>19</v>
      </c>
      <c r="I725">
        <v>6</v>
      </c>
      <c r="J725">
        <v>5656.18</v>
      </c>
      <c r="K725">
        <v>0.05</v>
      </c>
      <c r="L725">
        <v>1603.27</v>
      </c>
      <c r="M725" s="1" t="s">
        <v>50</v>
      </c>
    </row>
    <row r="726" spans="1:13" x14ac:dyDescent="0.3">
      <c r="A726" s="1" t="s">
        <v>1432</v>
      </c>
      <c r="B726" s="2">
        <v>45803</v>
      </c>
      <c r="C726" s="1" t="s">
        <v>466</v>
      </c>
      <c r="D726" s="1" t="s">
        <v>467</v>
      </c>
      <c r="E726" s="1" t="s">
        <v>24</v>
      </c>
      <c r="F726" s="1" t="s">
        <v>25</v>
      </c>
      <c r="G726" s="1" t="s">
        <v>18</v>
      </c>
      <c r="H726" s="1" t="s">
        <v>97</v>
      </c>
      <c r="I726">
        <v>6</v>
      </c>
      <c r="J726">
        <v>16135.16</v>
      </c>
      <c r="K726">
        <v>0</v>
      </c>
      <c r="L726">
        <v>5082.8500000000004</v>
      </c>
      <c r="M726" s="1" t="s">
        <v>39</v>
      </c>
    </row>
    <row r="727" spans="1:13" x14ac:dyDescent="0.3">
      <c r="A727" s="1" t="s">
        <v>1433</v>
      </c>
      <c r="B727" s="2">
        <v>45881</v>
      </c>
      <c r="C727" s="1" t="s">
        <v>692</v>
      </c>
      <c r="D727" s="1" t="s">
        <v>693</v>
      </c>
      <c r="E727" s="1" t="s">
        <v>24</v>
      </c>
      <c r="F727" s="1" t="s">
        <v>25</v>
      </c>
      <c r="G727" s="1" t="s">
        <v>26</v>
      </c>
      <c r="H727" s="1" t="s">
        <v>244</v>
      </c>
      <c r="I727">
        <v>10</v>
      </c>
      <c r="J727">
        <v>22605.21</v>
      </c>
      <c r="K727">
        <v>0.15</v>
      </c>
      <c r="L727">
        <v>4920.4399999999996</v>
      </c>
      <c r="M727" s="1" t="s">
        <v>50</v>
      </c>
    </row>
    <row r="728" spans="1:13" x14ac:dyDescent="0.3">
      <c r="A728" s="1" t="s">
        <v>1434</v>
      </c>
      <c r="B728" s="2">
        <v>45896</v>
      </c>
      <c r="C728" s="1" t="s">
        <v>92</v>
      </c>
      <c r="D728" s="1" t="s">
        <v>93</v>
      </c>
      <c r="E728" s="1" t="s">
        <v>24</v>
      </c>
      <c r="F728" s="1" t="s">
        <v>69</v>
      </c>
      <c r="G728" s="1" t="s">
        <v>26</v>
      </c>
      <c r="H728" s="1" t="s">
        <v>27</v>
      </c>
      <c r="I728">
        <v>7</v>
      </c>
      <c r="J728">
        <v>24525.439999999999</v>
      </c>
      <c r="K728">
        <v>0.05</v>
      </c>
      <c r="L728">
        <v>7083.46</v>
      </c>
      <c r="M728" s="1" t="s">
        <v>20</v>
      </c>
    </row>
    <row r="729" spans="1:13" x14ac:dyDescent="0.3">
      <c r="A729" s="1" t="s">
        <v>1435</v>
      </c>
      <c r="B729" s="2">
        <v>45834</v>
      </c>
      <c r="C729" s="1" t="s">
        <v>624</v>
      </c>
      <c r="D729" s="1" t="s">
        <v>625</v>
      </c>
      <c r="E729" s="1" t="s">
        <v>24</v>
      </c>
      <c r="F729" s="1" t="s">
        <v>25</v>
      </c>
      <c r="G729" s="1" t="s">
        <v>18</v>
      </c>
      <c r="H729" s="1" t="s">
        <v>122</v>
      </c>
      <c r="I729">
        <v>5</v>
      </c>
      <c r="J729">
        <v>12321.88</v>
      </c>
      <c r="K729">
        <v>0.1</v>
      </c>
      <c r="L729">
        <v>3894.99</v>
      </c>
      <c r="M729" s="1" t="s">
        <v>50</v>
      </c>
    </row>
    <row r="730" spans="1:13" x14ac:dyDescent="0.3">
      <c r="A730" s="1" t="s">
        <v>1436</v>
      </c>
      <c r="B730" s="2">
        <v>45924</v>
      </c>
      <c r="C730" s="1" t="s">
        <v>1437</v>
      </c>
      <c r="D730" s="1" t="s">
        <v>1438</v>
      </c>
      <c r="E730" s="1" t="s">
        <v>43</v>
      </c>
      <c r="F730" s="1" t="s">
        <v>25</v>
      </c>
      <c r="G730" s="1" t="s">
        <v>32</v>
      </c>
      <c r="H730" s="1" t="s">
        <v>54</v>
      </c>
      <c r="I730">
        <v>8</v>
      </c>
      <c r="J730">
        <v>145120.49</v>
      </c>
      <c r="K730">
        <v>0.1</v>
      </c>
      <c r="L730">
        <v>37748.42</v>
      </c>
      <c r="M730" s="1" t="s">
        <v>20</v>
      </c>
    </row>
    <row r="731" spans="1:13" x14ac:dyDescent="0.3">
      <c r="A731" s="1" t="s">
        <v>1439</v>
      </c>
      <c r="B731" s="2">
        <v>45998</v>
      </c>
      <c r="C731" s="1" t="s">
        <v>1265</v>
      </c>
      <c r="D731" s="1" t="s">
        <v>1266</v>
      </c>
      <c r="E731" s="1" t="s">
        <v>37</v>
      </c>
      <c r="F731" s="1" t="s">
        <v>25</v>
      </c>
      <c r="G731" s="1" t="s">
        <v>18</v>
      </c>
      <c r="H731" s="1" t="s">
        <v>141</v>
      </c>
      <c r="I731">
        <v>5</v>
      </c>
      <c r="J731">
        <v>10956.16</v>
      </c>
      <c r="K731">
        <v>0</v>
      </c>
      <c r="L731">
        <v>2877.77</v>
      </c>
      <c r="M731" s="1" t="s">
        <v>50</v>
      </c>
    </row>
    <row r="732" spans="1:13" x14ac:dyDescent="0.3">
      <c r="A732" s="1" t="s">
        <v>1440</v>
      </c>
      <c r="B732" s="2">
        <v>45939</v>
      </c>
      <c r="C732" s="1" t="s">
        <v>564</v>
      </c>
      <c r="D732" s="1" t="s">
        <v>565</v>
      </c>
      <c r="E732" s="1" t="s">
        <v>43</v>
      </c>
      <c r="F732" s="1" t="s">
        <v>25</v>
      </c>
      <c r="G732" s="1" t="s">
        <v>32</v>
      </c>
      <c r="H732" s="1" t="s">
        <v>79</v>
      </c>
      <c r="I732">
        <v>7</v>
      </c>
      <c r="J732">
        <v>75661.75</v>
      </c>
      <c r="K732">
        <v>0.05</v>
      </c>
      <c r="L732">
        <v>18076.68</v>
      </c>
      <c r="M732" s="1" t="s">
        <v>55</v>
      </c>
    </row>
    <row r="733" spans="1:13" x14ac:dyDescent="0.3">
      <c r="A733" s="1" t="s">
        <v>1441</v>
      </c>
      <c r="B733" s="2">
        <v>45720</v>
      </c>
      <c r="C733" s="1" t="s">
        <v>443</v>
      </c>
      <c r="D733" s="1" t="s">
        <v>444</v>
      </c>
      <c r="E733" s="1" t="s">
        <v>43</v>
      </c>
      <c r="F733" s="1" t="s">
        <v>69</v>
      </c>
      <c r="G733" s="1" t="s">
        <v>32</v>
      </c>
      <c r="H733" s="1" t="s">
        <v>33</v>
      </c>
      <c r="I733">
        <v>5</v>
      </c>
      <c r="J733">
        <v>85707.94</v>
      </c>
      <c r="K733">
        <v>0.15</v>
      </c>
      <c r="L733">
        <v>21529.06</v>
      </c>
      <c r="M733" s="1" t="s">
        <v>20</v>
      </c>
    </row>
    <row r="734" spans="1:13" x14ac:dyDescent="0.3">
      <c r="A734" s="1" t="s">
        <v>1442</v>
      </c>
      <c r="B734" s="2">
        <v>45874</v>
      </c>
      <c r="C734" s="1" t="s">
        <v>1443</v>
      </c>
      <c r="D734" s="1" t="s">
        <v>1444</v>
      </c>
      <c r="E734" s="1" t="s">
        <v>37</v>
      </c>
      <c r="F734" s="1" t="s">
        <v>25</v>
      </c>
      <c r="G734" s="1" t="s">
        <v>32</v>
      </c>
      <c r="H734" s="1" t="s">
        <v>59</v>
      </c>
      <c r="I734">
        <v>7</v>
      </c>
      <c r="J734">
        <v>100053.26</v>
      </c>
      <c r="K734">
        <v>0.2</v>
      </c>
      <c r="L734">
        <v>20000.77</v>
      </c>
      <c r="M734" s="1" t="s">
        <v>55</v>
      </c>
    </row>
    <row r="735" spans="1:13" x14ac:dyDescent="0.3">
      <c r="A735" s="1" t="s">
        <v>1445</v>
      </c>
      <c r="B735" s="2">
        <v>45999</v>
      </c>
      <c r="C735" s="1" t="s">
        <v>1446</v>
      </c>
      <c r="D735" s="1" t="s">
        <v>1447</v>
      </c>
      <c r="E735" s="1" t="s">
        <v>43</v>
      </c>
      <c r="F735" s="1" t="s">
        <v>69</v>
      </c>
      <c r="G735" s="1" t="s">
        <v>44</v>
      </c>
      <c r="H735" s="1" t="s">
        <v>70</v>
      </c>
      <c r="I735">
        <v>5</v>
      </c>
      <c r="J735">
        <v>36027.99</v>
      </c>
      <c r="K735">
        <v>0.15</v>
      </c>
      <c r="L735">
        <v>6706.09</v>
      </c>
      <c r="M735" s="1" t="s">
        <v>20</v>
      </c>
    </row>
    <row r="736" spans="1:13" x14ac:dyDescent="0.3">
      <c r="A736" s="1" t="s">
        <v>1448</v>
      </c>
      <c r="B736" s="2">
        <v>45972</v>
      </c>
      <c r="C736" s="1" t="s">
        <v>1449</v>
      </c>
      <c r="D736" s="1" t="s">
        <v>1450</v>
      </c>
      <c r="E736" s="1" t="s">
        <v>24</v>
      </c>
      <c r="F736" s="1" t="s">
        <v>17</v>
      </c>
      <c r="G736" s="1" t="s">
        <v>18</v>
      </c>
      <c r="H736" s="1" t="s">
        <v>122</v>
      </c>
      <c r="I736">
        <v>5</v>
      </c>
      <c r="J736">
        <v>5612.07</v>
      </c>
      <c r="K736">
        <v>0</v>
      </c>
      <c r="L736">
        <v>1816.94</v>
      </c>
      <c r="M736" s="1" t="s">
        <v>55</v>
      </c>
    </row>
    <row r="737" spans="1:13" x14ac:dyDescent="0.3">
      <c r="A737" s="1" t="s">
        <v>1451</v>
      </c>
      <c r="B737" s="2">
        <v>45940</v>
      </c>
      <c r="C737" s="1" t="s">
        <v>518</v>
      </c>
      <c r="D737" s="1" t="s">
        <v>519</v>
      </c>
      <c r="E737" s="1" t="s">
        <v>43</v>
      </c>
      <c r="F737" s="1" t="s">
        <v>25</v>
      </c>
      <c r="G737" s="1" t="s">
        <v>44</v>
      </c>
      <c r="H737" s="1" t="s">
        <v>70</v>
      </c>
      <c r="I737">
        <v>1</v>
      </c>
      <c r="J737">
        <v>9454.36</v>
      </c>
      <c r="K737">
        <v>0.15</v>
      </c>
      <c r="L737">
        <v>1767.51</v>
      </c>
      <c r="M737" s="1" t="s">
        <v>50</v>
      </c>
    </row>
    <row r="738" spans="1:13" x14ac:dyDescent="0.3">
      <c r="A738" s="1" t="s">
        <v>1452</v>
      </c>
      <c r="B738" s="2">
        <v>45834</v>
      </c>
      <c r="C738" s="1" t="s">
        <v>1402</v>
      </c>
      <c r="D738" s="1" t="s">
        <v>1403</v>
      </c>
      <c r="E738" s="1" t="s">
        <v>24</v>
      </c>
      <c r="F738" s="1" t="s">
        <v>69</v>
      </c>
      <c r="G738" s="1" t="s">
        <v>32</v>
      </c>
      <c r="H738" s="1" t="s">
        <v>54</v>
      </c>
      <c r="I738">
        <v>9</v>
      </c>
      <c r="J738">
        <v>102002.06</v>
      </c>
      <c r="K738">
        <v>0.2</v>
      </c>
      <c r="L738">
        <v>26495.67</v>
      </c>
      <c r="M738" s="1" t="s">
        <v>28</v>
      </c>
    </row>
    <row r="739" spans="1:13" x14ac:dyDescent="0.3">
      <c r="A739" s="1" t="s">
        <v>1453</v>
      </c>
      <c r="B739" s="2">
        <v>45755</v>
      </c>
      <c r="C739" s="1" t="s">
        <v>561</v>
      </c>
      <c r="D739" s="1" t="s">
        <v>562</v>
      </c>
      <c r="E739" s="1" t="s">
        <v>16</v>
      </c>
      <c r="F739" s="1" t="s">
        <v>69</v>
      </c>
      <c r="G739" s="1" t="s">
        <v>44</v>
      </c>
      <c r="H739" s="1" t="s">
        <v>45</v>
      </c>
      <c r="I739">
        <v>7</v>
      </c>
      <c r="J739">
        <v>32844.239999999998</v>
      </c>
      <c r="K739">
        <v>0.15</v>
      </c>
      <c r="L739">
        <v>6772.59</v>
      </c>
      <c r="M739" s="1" t="s">
        <v>55</v>
      </c>
    </row>
    <row r="740" spans="1:13" x14ac:dyDescent="0.3">
      <c r="A740" s="1" t="s">
        <v>1454</v>
      </c>
      <c r="B740" s="2">
        <v>45762</v>
      </c>
      <c r="C740" s="1" t="s">
        <v>1455</v>
      </c>
      <c r="D740" s="1" t="s">
        <v>1456</v>
      </c>
      <c r="E740" s="1" t="s">
        <v>16</v>
      </c>
      <c r="F740" s="1" t="s">
        <v>25</v>
      </c>
      <c r="G740" s="1" t="s">
        <v>26</v>
      </c>
      <c r="H740" s="1" t="s">
        <v>244</v>
      </c>
      <c r="I740">
        <v>6</v>
      </c>
      <c r="J740">
        <v>21731.81</v>
      </c>
      <c r="K740">
        <v>0</v>
      </c>
      <c r="L740">
        <v>4660.5600000000004</v>
      </c>
      <c r="M740" s="1" t="s">
        <v>50</v>
      </c>
    </row>
    <row r="741" spans="1:13" x14ac:dyDescent="0.3">
      <c r="A741" s="1" t="s">
        <v>1457</v>
      </c>
      <c r="B741" s="2">
        <v>45756</v>
      </c>
      <c r="C741" s="1" t="s">
        <v>564</v>
      </c>
      <c r="D741" s="1" t="s">
        <v>565</v>
      </c>
      <c r="E741" s="1" t="s">
        <v>16</v>
      </c>
      <c r="F741" s="1" t="s">
        <v>25</v>
      </c>
      <c r="G741" s="1" t="s">
        <v>32</v>
      </c>
      <c r="H741" s="1" t="s">
        <v>59</v>
      </c>
      <c r="I741">
        <v>3</v>
      </c>
      <c r="J741">
        <v>30551.200000000001</v>
      </c>
      <c r="K741">
        <v>0</v>
      </c>
      <c r="L741">
        <v>6926.06</v>
      </c>
      <c r="M741" s="1" t="s">
        <v>39</v>
      </c>
    </row>
    <row r="742" spans="1:13" x14ac:dyDescent="0.3">
      <c r="A742" s="1" t="s">
        <v>1458</v>
      </c>
      <c r="B742" s="2">
        <v>45968</v>
      </c>
      <c r="C742" s="1" t="s">
        <v>665</v>
      </c>
      <c r="D742" s="1" t="s">
        <v>666</v>
      </c>
      <c r="E742" s="1" t="s">
        <v>37</v>
      </c>
      <c r="F742" s="1" t="s">
        <v>17</v>
      </c>
      <c r="G742" s="1" t="s">
        <v>32</v>
      </c>
      <c r="H742" s="1" t="s">
        <v>54</v>
      </c>
      <c r="I742">
        <v>8</v>
      </c>
      <c r="J742">
        <v>61290.21</v>
      </c>
      <c r="K742">
        <v>0.25</v>
      </c>
      <c r="L742">
        <v>12780</v>
      </c>
      <c r="M742" s="1" t="s">
        <v>55</v>
      </c>
    </row>
    <row r="743" spans="1:13" x14ac:dyDescent="0.3">
      <c r="A743" s="1" t="s">
        <v>1459</v>
      </c>
      <c r="B743" s="2">
        <v>45663</v>
      </c>
      <c r="C743" s="1" t="s">
        <v>1050</v>
      </c>
      <c r="D743" s="1" t="s">
        <v>1051</v>
      </c>
      <c r="E743" s="1" t="s">
        <v>16</v>
      </c>
      <c r="F743" s="1" t="s">
        <v>25</v>
      </c>
      <c r="G743" s="1" t="s">
        <v>26</v>
      </c>
      <c r="H743" s="1" t="s">
        <v>244</v>
      </c>
      <c r="I743">
        <v>8</v>
      </c>
      <c r="J743">
        <v>13680.48</v>
      </c>
      <c r="K743">
        <v>0.15</v>
      </c>
      <c r="L743">
        <v>2960.36</v>
      </c>
      <c r="M743" s="1" t="s">
        <v>50</v>
      </c>
    </row>
    <row r="744" spans="1:13" x14ac:dyDescent="0.3">
      <c r="A744" s="1" t="s">
        <v>1460</v>
      </c>
      <c r="B744" s="2">
        <v>45854</v>
      </c>
      <c r="C744" s="1" t="s">
        <v>105</v>
      </c>
      <c r="D744" s="1" t="s">
        <v>106</v>
      </c>
      <c r="E744" s="1" t="s">
        <v>74</v>
      </c>
      <c r="F744" s="1" t="s">
        <v>25</v>
      </c>
      <c r="G744" s="1" t="s">
        <v>18</v>
      </c>
      <c r="H744" s="1" t="s">
        <v>97</v>
      </c>
      <c r="I744">
        <v>2</v>
      </c>
      <c r="J744">
        <v>5032.25</v>
      </c>
      <c r="K744">
        <v>0.05</v>
      </c>
      <c r="L744">
        <v>1381.75</v>
      </c>
      <c r="M744" s="1" t="s">
        <v>20</v>
      </c>
    </row>
    <row r="745" spans="1:13" x14ac:dyDescent="0.3">
      <c r="A745" s="1" t="s">
        <v>1461</v>
      </c>
      <c r="B745" s="2">
        <v>46008</v>
      </c>
      <c r="C745" s="1" t="s">
        <v>1462</v>
      </c>
      <c r="D745" s="1" t="s">
        <v>1463</v>
      </c>
      <c r="E745" s="1" t="s">
        <v>24</v>
      </c>
      <c r="F745" s="1" t="s">
        <v>69</v>
      </c>
      <c r="G745" s="1" t="s">
        <v>26</v>
      </c>
      <c r="H745" s="1" t="s">
        <v>49</v>
      </c>
      <c r="I745">
        <v>2</v>
      </c>
      <c r="J745">
        <v>8766.27</v>
      </c>
      <c r="K745">
        <v>0.05</v>
      </c>
      <c r="L745">
        <v>2291.37</v>
      </c>
      <c r="M745" s="1" t="s">
        <v>28</v>
      </c>
    </row>
    <row r="746" spans="1:13" x14ac:dyDescent="0.3">
      <c r="A746" s="1" t="s">
        <v>1464</v>
      </c>
      <c r="B746" s="2">
        <v>45790</v>
      </c>
      <c r="C746" s="1" t="s">
        <v>335</v>
      </c>
      <c r="D746" s="1" t="s">
        <v>336</v>
      </c>
      <c r="E746" s="1" t="s">
        <v>43</v>
      </c>
      <c r="F746" s="1" t="s">
        <v>17</v>
      </c>
      <c r="G746" s="1" t="s">
        <v>18</v>
      </c>
      <c r="H746" s="1" t="s">
        <v>122</v>
      </c>
      <c r="I746">
        <v>6</v>
      </c>
      <c r="J746">
        <v>10022.67</v>
      </c>
      <c r="K746">
        <v>0</v>
      </c>
      <c r="L746">
        <v>3025.87</v>
      </c>
      <c r="M746" s="1" t="s">
        <v>55</v>
      </c>
    </row>
    <row r="747" spans="1:13" x14ac:dyDescent="0.3">
      <c r="A747" s="1" t="s">
        <v>1465</v>
      </c>
      <c r="B747" s="2">
        <v>46015</v>
      </c>
      <c r="C747" s="1" t="s">
        <v>95</v>
      </c>
      <c r="D747" s="1" t="s">
        <v>96</v>
      </c>
      <c r="E747" s="1" t="s">
        <v>43</v>
      </c>
      <c r="F747" s="1" t="s">
        <v>25</v>
      </c>
      <c r="G747" s="1" t="s">
        <v>44</v>
      </c>
      <c r="H747" s="1" t="s">
        <v>90</v>
      </c>
      <c r="I747">
        <v>3</v>
      </c>
      <c r="J747">
        <v>14767.79</v>
      </c>
      <c r="K747">
        <v>0.1</v>
      </c>
      <c r="L747">
        <v>3106.12</v>
      </c>
      <c r="M747" s="1" t="s">
        <v>20</v>
      </c>
    </row>
    <row r="748" spans="1:13" x14ac:dyDescent="0.3">
      <c r="A748" s="1" t="s">
        <v>1466</v>
      </c>
      <c r="B748" s="2">
        <v>45916</v>
      </c>
      <c r="C748" s="1" t="s">
        <v>35</v>
      </c>
      <c r="D748" s="1" t="s">
        <v>36</v>
      </c>
      <c r="E748" s="1" t="s">
        <v>24</v>
      </c>
      <c r="F748" s="1" t="s">
        <v>25</v>
      </c>
      <c r="G748" s="1" t="s">
        <v>18</v>
      </c>
      <c r="H748" s="1" t="s">
        <v>97</v>
      </c>
      <c r="I748">
        <v>8</v>
      </c>
      <c r="J748">
        <v>10933.48</v>
      </c>
      <c r="K748">
        <v>0.1</v>
      </c>
      <c r="L748">
        <v>3446.7</v>
      </c>
      <c r="M748" s="1" t="s">
        <v>55</v>
      </c>
    </row>
    <row r="749" spans="1:13" x14ac:dyDescent="0.3">
      <c r="A749" s="1" t="s">
        <v>1467</v>
      </c>
      <c r="B749" s="2">
        <v>45680</v>
      </c>
      <c r="C749" s="1" t="s">
        <v>92</v>
      </c>
      <c r="D749" s="1" t="s">
        <v>93</v>
      </c>
      <c r="E749" s="1" t="s">
        <v>16</v>
      </c>
      <c r="F749" s="1" t="s">
        <v>25</v>
      </c>
      <c r="G749" s="1" t="s">
        <v>44</v>
      </c>
      <c r="H749" s="1" t="s">
        <v>70</v>
      </c>
      <c r="I749">
        <v>10</v>
      </c>
      <c r="J749">
        <v>97082.82</v>
      </c>
      <c r="K749">
        <v>0.15</v>
      </c>
      <c r="L749">
        <v>12627.73</v>
      </c>
      <c r="M749" s="1" t="s">
        <v>39</v>
      </c>
    </row>
    <row r="750" spans="1:13" x14ac:dyDescent="0.3">
      <c r="A750" s="1" t="s">
        <v>1468</v>
      </c>
      <c r="B750" s="2">
        <v>45710</v>
      </c>
      <c r="C750" s="1" t="s">
        <v>1469</v>
      </c>
      <c r="D750" s="1" t="s">
        <v>1470</v>
      </c>
      <c r="E750" s="1" t="s">
        <v>74</v>
      </c>
      <c r="F750" s="1" t="s">
        <v>25</v>
      </c>
      <c r="G750" s="1" t="s">
        <v>32</v>
      </c>
      <c r="H750" s="1" t="s">
        <v>38</v>
      </c>
      <c r="I750">
        <v>9</v>
      </c>
      <c r="J750">
        <v>138409.29</v>
      </c>
      <c r="K750">
        <v>0.1</v>
      </c>
      <c r="L750">
        <v>28806.16</v>
      </c>
      <c r="M750" s="1" t="s">
        <v>39</v>
      </c>
    </row>
    <row r="751" spans="1:13" x14ac:dyDescent="0.3">
      <c r="A751" s="1" t="s">
        <v>1471</v>
      </c>
      <c r="B751" s="2">
        <v>45822</v>
      </c>
      <c r="C751" s="1" t="s">
        <v>376</v>
      </c>
      <c r="D751" s="1" t="s">
        <v>377</v>
      </c>
      <c r="E751" s="1" t="s">
        <v>43</v>
      </c>
      <c r="F751" s="1" t="s">
        <v>69</v>
      </c>
      <c r="G751" s="1" t="s">
        <v>32</v>
      </c>
      <c r="H751" s="1" t="s">
        <v>79</v>
      </c>
      <c r="I751">
        <v>9</v>
      </c>
      <c r="J751">
        <v>103374.39</v>
      </c>
      <c r="K751">
        <v>0.15</v>
      </c>
      <c r="L751">
        <v>22547.9</v>
      </c>
      <c r="M751" s="1" t="s">
        <v>55</v>
      </c>
    </row>
    <row r="752" spans="1:13" x14ac:dyDescent="0.3">
      <c r="A752" s="1" t="s">
        <v>1472</v>
      </c>
      <c r="B752" s="2">
        <v>45859</v>
      </c>
      <c r="C752" s="1" t="s">
        <v>454</v>
      </c>
      <c r="D752" s="1" t="s">
        <v>455</v>
      </c>
      <c r="E752" s="1" t="s">
        <v>74</v>
      </c>
      <c r="F752" s="1" t="s">
        <v>69</v>
      </c>
      <c r="G752" s="1" t="s">
        <v>18</v>
      </c>
      <c r="H752" s="1" t="s">
        <v>19</v>
      </c>
      <c r="I752">
        <v>2</v>
      </c>
      <c r="J752">
        <v>3016.92</v>
      </c>
      <c r="K752">
        <v>0.1</v>
      </c>
      <c r="L752">
        <v>913.4</v>
      </c>
      <c r="M752" s="1" t="s">
        <v>55</v>
      </c>
    </row>
    <row r="753" spans="1:13" x14ac:dyDescent="0.3">
      <c r="A753" s="1" t="s">
        <v>1473</v>
      </c>
      <c r="B753" s="2">
        <v>45740</v>
      </c>
      <c r="C753" s="1" t="s">
        <v>379</v>
      </c>
      <c r="D753" s="1" t="s">
        <v>380</v>
      </c>
      <c r="E753" s="1" t="s">
        <v>24</v>
      </c>
      <c r="F753" s="1" t="s">
        <v>25</v>
      </c>
      <c r="G753" s="1" t="s">
        <v>26</v>
      </c>
      <c r="H753" s="1" t="s">
        <v>231</v>
      </c>
      <c r="I753">
        <v>4</v>
      </c>
      <c r="J753">
        <v>7843.89</v>
      </c>
      <c r="K753">
        <v>0.05</v>
      </c>
      <c r="L753">
        <v>1893.1</v>
      </c>
      <c r="M753" s="1" t="s">
        <v>28</v>
      </c>
    </row>
    <row r="754" spans="1:13" x14ac:dyDescent="0.3">
      <c r="A754" s="1" t="s">
        <v>1474</v>
      </c>
      <c r="B754" s="2">
        <v>45802</v>
      </c>
      <c r="C754" s="1" t="s">
        <v>261</v>
      </c>
      <c r="D754" s="1" t="s">
        <v>262</v>
      </c>
      <c r="E754" s="1" t="s">
        <v>24</v>
      </c>
      <c r="F754" s="1" t="s">
        <v>69</v>
      </c>
      <c r="G754" s="1" t="s">
        <v>26</v>
      </c>
      <c r="H754" s="1" t="s">
        <v>49</v>
      </c>
      <c r="I754">
        <v>9</v>
      </c>
      <c r="J754">
        <v>28986.83</v>
      </c>
      <c r="K754">
        <v>0.1</v>
      </c>
      <c r="L754">
        <v>5992.28</v>
      </c>
      <c r="M754" s="1" t="s">
        <v>55</v>
      </c>
    </row>
    <row r="755" spans="1:13" x14ac:dyDescent="0.3">
      <c r="A755" s="1" t="s">
        <v>1475</v>
      </c>
      <c r="B755" s="2">
        <v>45742</v>
      </c>
      <c r="C755" s="1" t="s">
        <v>1367</v>
      </c>
      <c r="D755" s="1" t="s">
        <v>1368</v>
      </c>
      <c r="E755" s="1" t="s">
        <v>74</v>
      </c>
      <c r="F755" s="1" t="s">
        <v>25</v>
      </c>
      <c r="G755" s="1" t="s">
        <v>26</v>
      </c>
      <c r="H755" s="1" t="s">
        <v>231</v>
      </c>
      <c r="I755">
        <v>4</v>
      </c>
      <c r="J755">
        <v>7271.78</v>
      </c>
      <c r="K755">
        <v>0.15</v>
      </c>
      <c r="L755">
        <v>1636.21</v>
      </c>
      <c r="M755" s="1" t="s">
        <v>20</v>
      </c>
    </row>
    <row r="756" spans="1:13" x14ac:dyDescent="0.3">
      <c r="A756" s="1" t="s">
        <v>1476</v>
      </c>
      <c r="B756" s="2">
        <v>45735</v>
      </c>
      <c r="C756" s="1" t="s">
        <v>427</v>
      </c>
      <c r="D756" s="1" t="s">
        <v>428</v>
      </c>
      <c r="E756" s="1" t="s">
        <v>74</v>
      </c>
      <c r="F756" s="1" t="s">
        <v>69</v>
      </c>
      <c r="G756" s="1" t="s">
        <v>18</v>
      </c>
      <c r="H756" s="1" t="s">
        <v>145</v>
      </c>
      <c r="I756">
        <v>8</v>
      </c>
      <c r="J756">
        <v>9389.56</v>
      </c>
      <c r="K756">
        <v>0.05</v>
      </c>
      <c r="L756">
        <v>2211.5500000000002</v>
      </c>
      <c r="M756" s="1" t="s">
        <v>28</v>
      </c>
    </row>
    <row r="757" spans="1:13" x14ac:dyDescent="0.3">
      <c r="A757" s="1" t="s">
        <v>1477</v>
      </c>
      <c r="B757" s="2">
        <v>45658</v>
      </c>
      <c r="C757" s="1" t="s">
        <v>972</v>
      </c>
      <c r="D757" s="1" t="s">
        <v>973</v>
      </c>
      <c r="E757" s="1" t="s">
        <v>16</v>
      </c>
      <c r="F757" s="1" t="s">
        <v>25</v>
      </c>
      <c r="G757" s="1" t="s">
        <v>32</v>
      </c>
      <c r="H757" s="1" t="s">
        <v>38</v>
      </c>
      <c r="I757">
        <v>10</v>
      </c>
      <c r="J757">
        <v>102905.81</v>
      </c>
      <c r="K757">
        <v>0.25</v>
      </c>
      <c r="L757">
        <v>20558.05</v>
      </c>
      <c r="M757" s="1" t="s">
        <v>50</v>
      </c>
    </row>
    <row r="758" spans="1:13" x14ac:dyDescent="0.3">
      <c r="A758" s="1" t="s">
        <v>1478</v>
      </c>
      <c r="B758" s="2">
        <v>45708</v>
      </c>
      <c r="C758" s="1" t="s">
        <v>1044</v>
      </c>
      <c r="D758" s="1" t="s">
        <v>1045</v>
      </c>
      <c r="E758" s="1" t="s">
        <v>43</v>
      </c>
      <c r="F758" s="1" t="s">
        <v>17</v>
      </c>
      <c r="G758" s="1" t="s">
        <v>44</v>
      </c>
      <c r="H758" s="1" t="s">
        <v>90</v>
      </c>
      <c r="I758">
        <v>2</v>
      </c>
      <c r="J758">
        <v>17792.509999999998</v>
      </c>
      <c r="K758">
        <v>0.05</v>
      </c>
      <c r="L758">
        <v>3004.5</v>
      </c>
      <c r="M758" s="1" t="s">
        <v>55</v>
      </c>
    </row>
    <row r="759" spans="1:13" x14ac:dyDescent="0.3">
      <c r="A759" s="1" t="s">
        <v>1479</v>
      </c>
      <c r="B759" s="2">
        <v>45830</v>
      </c>
      <c r="C759" s="1" t="s">
        <v>887</v>
      </c>
      <c r="D759" s="1" t="s">
        <v>888</v>
      </c>
      <c r="E759" s="1" t="s">
        <v>37</v>
      </c>
      <c r="F759" s="1" t="s">
        <v>25</v>
      </c>
      <c r="G759" s="1" t="s">
        <v>44</v>
      </c>
      <c r="H759" s="1" t="s">
        <v>155</v>
      </c>
      <c r="I759">
        <v>6</v>
      </c>
      <c r="J759">
        <v>65760.100000000006</v>
      </c>
      <c r="K759">
        <v>0.1</v>
      </c>
      <c r="L759">
        <v>14762.93</v>
      </c>
      <c r="M759" s="1" t="s">
        <v>55</v>
      </c>
    </row>
    <row r="760" spans="1:13" x14ac:dyDescent="0.3">
      <c r="A760" s="1" t="s">
        <v>1480</v>
      </c>
      <c r="B760" s="2">
        <v>45862</v>
      </c>
      <c r="C760" s="1" t="s">
        <v>402</v>
      </c>
      <c r="D760" s="1" t="s">
        <v>403</v>
      </c>
      <c r="E760" s="1" t="s">
        <v>74</v>
      </c>
      <c r="F760" s="1" t="s">
        <v>25</v>
      </c>
      <c r="G760" s="1" t="s">
        <v>18</v>
      </c>
      <c r="H760" s="1" t="s">
        <v>141</v>
      </c>
      <c r="I760">
        <v>6</v>
      </c>
      <c r="J760">
        <v>8925.2199999999993</v>
      </c>
      <c r="K760">
        <v>0.2</v>
      </c>
      <c r="L760">
        <v>2929.86</v>
      </c>
      <c r="M760" s="1" t="s">
        <v>55</v>
      </c>
    </row>
    <row r="761" spans="1:13" x14ac:dyDescent="0.3">
      <c r="A761" s="1" t="s">
        <v>1481</v>
      </c>
      <c r="B761" s="2">
        <v>45917</v>
      </c>
      <c r="C761" s="1" t="s">
        <v>1182</v>
      </c>
      <c r="D761" s="1" t="s">
        <v>1183</v>
      </c>
      <c r="E761" s="1" t="s">
        <v>74</v>
      </c>
      <c r="F761" s="1" t="s">
        <v>25</v>
      </c>
      <c r="G761" s="1" t="s">
        <v>18</v>
      </c>
      <c r="H761" s="1" t="s">
        <v>19</v>
      </c>
      <c r="I761">
        <v>1</v>
      </c>
      <c r="J761">
        <v>2636.98</v>
      </c>
      <c r="K761">
        <v>0.05</v>
      </c>
      <c r="L761">
        <v>816.43</v>
      </c>
      <c r="M761" s="1" t="s">
        <v>55</v>
      </c>
    </row>
    <row r="762" spans="1:13" x14ac:dyDescent="0.3">
      <c r="A762" s="1" t="s">
        <v>1482</v>
      </c>
      <c r="B762" s="2">
        <v>45945</v>
      </c>
      <c r="C762" s="1" t="s">
        <v>1119</v>
      </c>
      <c r="D762" s="1" t="s">
        <v>1120</v>
      </c>
      <c r="E762" s="1" t="s">
        <v>37</v>
      </c>
      <c r="F762" s="1" t="s">
        <v>25</v>
      </c>
      <c r="G762" s="1" t="s">
        <v>18</v>
      </c>
      <c r="H762" s="1" t="s">
        <v>19</v>
      </c>
      <c r="I762">
        <v>1</v>
      </c>
      <c r="J762">
        <v>1881.48</v>
      </c>
      <c r="K762">
        <v>0.15</v>
      </c>
      <c r="L762">
        <v>577.41999999999996</v>
      </c>
      <c r="M762" s="1" t="s">
        <v>55</v>
      </c>
    </row>
    <row r="763" spans="1:13" x14ac:dyDescent="0.3">
      <c r="A763" s="1" t="s">
        <v>1483</v>
      </c>
      <c r="B763" s="2">
        <v>45691</v>
      </c>
      <c r="C763" s="1" t="s">
        <v>936</v>
      </c>
      <c r="D763" s="1" t="s">
        <v>937</v>
      </c>
      <c r="E763" s="1" t="s">
        <v>16</v>
      </c>
      <c r="F763" s="1" t="s">
        <v>25</v>
      </c>
      <c r="G763" s="1" t="s">
        <v>18</v>
      </c>
      <c r="H763" s="1" t="s">
        <v>145</v>
      </c>
      <c r="I763">
        <v>6</v>
      </c>
      <c r="J763">
        <v>5439.64</v>
      </c>
      <c r="K763">
        <v>0.2</v>
      </c>
      <c r="L763">
        <v>1392.91</v>
      </c>
      <c r="M763" s="1" t="s">
        <v>20</v>
      </c>
    </row>
    <row r="764" spans="1:13" x14ac:dyDescent="0.3">
      <c r="A764" s="1" t="s">
        <v>1484</v>
      </c>
      <c r="B764" s="2">
        <v>46005</v>
      </c>
      <c r="C764" s="1" t="s">
        <v>1238</v>
      </c>
      <c r="D764" s="1" t="s">
        <v>1239</v>
      </c>
      <c r="E764" s="1" t="s">
        <v>74</v>
      </c>
      <c r="F764" s="1" t="s">
        <v>69</v>
      </c>
      <c r="G764" s="1" t="s">
        <v>26</v>
      </c>
      <c r="H764" s="1" t="s">
        <v>49</v>
      </c>
      <c r="I764">
        <v>8</v>
      </c>
      <c r="J764">
        <v>13532.61</v>
      </c>
      <c r="K764">
        <v>0.1</v>
      </c>
      <c r="L764">
        <v>2859.62</v>
      </c>
      <c r="M764" s="1" t="s">
        <v>55</v>
      </c>
    </row>
    <row r="765" spans="1:13" x14ac:dyDescent="0.3">
      <c r="A765" s="1" t="s">
        <v>1485</v>
      </c>
      <c r="B765" s="2">
        <v>45752</v>
      </c>
      <c r="C765" s="1" t="s">
        <v>725</v>
      </c>
      <c r="D765" s="1" t="s">
        <v>726</v>
      </c>
      <c r="E765" s="1" t="s">
        <v>24</v>
      </c>
      <c r="F765" s="1" t="s">
        <v>17</v>
      </c>
      <c r="G765" s="1" t="s">
        <v>26</v>
      </c>
      <c r="H765" s="1" t="s">
        <v>27</v>
      </c>
      <c r="I765">
        <v>1</v>
      </c>
      <c r="J765">
        <v>2831.48</v>
      </c>
      <c r="K765">
        <v>0.05</v>
      </c>
      <c r="L765">
        <v>743.25</v>
      </c>
      <c r="M765" s="1" t="s">
        <v>50</v>
      </c>
    </row>
    <row r="766" spans="1:13" x14ac:dyDescent="0.3">
      <c r="A766" s="1" t="s">
        <v>1486</v>
      </c>
      <c r="B766" s="2">
        <v>45729</v>
      </c>
      <c r="C766" s="1" t="s">
        <v>443</v>
      </c>
      <c r="D766" s="1" t="s">
        <v>444</v>
      </c>
      <c r="E766" s="1" t="s">
        <v>43</v>
      </c>
      <c r="F766" s="1" t="s">
        <v>17</v>
      </c>
      <c r="G766" s="1" t="s">
        <v>26</v>
      </c>
      <c r="H766" s="1" t="s">
        <v>244</v>
      </c>
      <c r="I766">
        <v>8</v>
      </c>
      <c r="J766">
        <v>27335.14</v>
      </c>
      <c r="K766">
        <v>0.2</v>
      </c>
      <c r="L766">
        <v>7964.82</v>
      </c>
      <c r="M766" s="1" t="s">
        <v>20</v>
      </c>
    </row>
    <row r="767" spans="1:13" x14ac:dyDescent="0.3">
      <c r="A767" s="1" t="s">
        <v>1487</v>
      </c>
      <c r="B767" s="2">
        <v>45696</v>
      </c>
      <c r="C767" s="1" t="s">
        <v>147</v>
      </c>
      <c r="D767" s="1" t="s">
        <v>148</v>
      </c>
      <c r="E767" s="1" t="s">
        <v>16</v>
      </c>
      <c r="F767" s="1" t="s">
        <v>69</v>
      </c>
      <c r="G767" s="1" t="s">
        <v>26</v>
      </c>
      <c r="H767" s="1" t="s">
        <v>231</v>
      </c>
      <c r="I767">
        <v>8</v>
      </c>
      <c r="J767">
        <v>15643.67</v>
      </c>
      <c r="K767">
        <v>0.1</v>
      </c>
      <c r="L767">
        <v>4064.71</v>
      </c>
      <c r="M767" s="1" t="s">
        <v>28</v>
      </c>
    </row>
    <row r="768" spans="1:13" x14ac:dyDescent="0.3">
      <c r="A768" s="1" t="s">
        <v>1488</v>
      </c>
      <c r="B768" s="2">
        <v>45811</v>
      </c>
      <c r="C768" s="1" t="s">
        <v>932</v>
      </c>
      <c r="D768" s="1" t="s">
        <v>933</v>
      </c>
      <c r="E768" s="1" t="s">
        <v>37</v>
      </c>
      <c r="F768" s="1" t="s">
        <v>17</v>
      </c>
      <c r="G768" s="1" t="s">
        <v>32</v>
      </c>
      <c r="H768" s="1" t="s">
        <v>59</v>
      </c>
      <c r="I768">
        <v>3</v>
      </c>
      <c r="J768">
        <v>33987.040000000001</v>
      </c>
      <c r="K768">
        <v>0</v>
      </c>
      <c r="L768">
        <v>5899.79</v>
      </c>
      <c r="M768" s="1" t="s">
        <v>39</v>
      </c>
    </row>
    <row r="769" spans="1:13" x14ac:dyDescent="0.3">
      <c r="A769" s="1" t="s">
        <v>1489</v>
      </c>
      <c r="B769" s="2">
        <v>45907</v>
      </c>
      <c r="C769" s="1" t="s">
        <v>1490</v>
      </c>
      <c r="D769" s="1" t="s">
        <v>1491</v>
      </c>
      <c r="E769" s="1" t="s">
        <v>74</v>
      </c>
      <c r="F769" s="1" t="s">
        <v>69</v>
      </c>
      <c r="G769" s="1" t="s">
        <v>18</v>
      </c>
      <c r="H769" s="1" t="s">
        <v>141</v>
      </c>
      <c r="I769">
        <v>3</v>
      </c>
      <c r="J769">
        <v>6352.44</v>
      </c>
      <c r="K769">
        <v>0.05</v>
      </c>
      <c r="L769">
        <v>1739.73</v>
      </c>
      <c r="M769" s="1" t="s">
        <v>20</v>
      </c>
    </row>
    <row r="770" spans="1:13" x14ac:dyDescent="0.3">
      <c r="A770" s="1" t="s">
        <v>1492</v>
      </c>
      <c r="B770" s="2">
        <v>45819</v>
      </c>
      <c r="C770" s="1" t="s">
        <v>1493</v>
      </c>
      <c r="D770" s="1" t="s">
        <v>1494</v>
      </c>
      <c r="E770" s="1" t="s">
        <v>74</v>
      </c>
      <c r="F770" s="1" t="s">
        <v>69</v>
      </c>
      <c r="G770" s="1" t="s">
        <v>44</v>
      </c>
      <c r="H770" s="1" t="s">
        <v>70</v>
      </c>
      <c r="I770">
        <v>9</v>
      </c>
      <c r="J770">
        <v>84601.67</v>
      </c>
      <c r="K770">
        <v>0.2</v>
      </c>
      <c r="L770">
        <v>16146.93</v>
      </c>
      <c r="M770" s="1" t="s">
        <v>50</v>
      </c>
    </row>
    <row r="771" spans="1:13" x14ac:dyDescent="0.3">
      <c r="A771" s="1" t="s">
        <v>1495</v>
      </c>
      <c r="B771" s="2">
        <v>45775</v>
      </c>
      <c r="C771" s="1" t="s">
        <v>67</v>
      </c>
      <c r="D771" s="1" t="s">
        <v>68</v>
      </c>
      <c r="E771" s="1" t="s">
        <v>24</v>
      </c>
      <c r="F771" s="1" t="s">
        <v>25</v>
      </c>
      <c r="G771" s="1" t="s">
        <v>26</v>
      </c>
      <c r="H771" s="1" t="s">
        <v>231</v>
      </c>
      <c r="I771">
        <v>2</v>
      </c>
      <c r="J771">
        <v>3560.37</v>
      </c>
      <c r="K771">
        <v>0.15</v>
      </c>
      <c r="L771">
        <v>956.77</v>
      </c>
      <c r="M771" s="1" t="s">
        <v>28</v>
      </c>
    </row>
    <row r="772" spans="1:13" x14ac:dyDescent="0.3">
      <c r="A772" s="1" t="s">
        <v>1496</v>
      </c>
      <c r="B772" s="2">
        <v>45916</v>
      </c>
      <c r="C772" s="1" t="s">
        <v>242</v>
      </c>
      <c r="D772" s="1" t="s">
        <v>243</v>
      </c>
      <c r="E772" s="1" t="s">
        <v>16</v>
      </c>
      <c r="F772" s="1" t="s">
        <v>25</v>
      </c>
      <c r="G772" s="1" t="s">
        <v>26</v>
      </c>
      <c r="H772" s="1" t="s">
        <v>49</v>
      </c>
      <c r="I772">
        <v>2</v>
      </c>
      <c r="J772">
        <v>7958.46</v>
      </c>
      <c r="K772">
        <v>0</v>
      </c>
      <c r="L772">
        <v>2259.73</v>
      </c>
      <c r="M772" s="1" t="s">
        <v>55</v>
      </c>
    </row>
    <row r="773" spans="1:13" x14ac:dyDescent="0.3">
      <c r="A773" s="1" t="s">
        <v>1497</v>
      </c>
      <c r="B773" s="2">
        <v>45963</v>
      </c>
      <c r="C773" s="1" t="s">
        <v>1021</v>
      </c>
      <c r="D773" s="1" t="s">
        <v>1022</v>
      </c>
      <c r="E773" s="1" t="s">
        <v>43</v>
      </c>
      <c r="F773" s="1" t="s">
        <v>69</v>
      </c>
      <c r="G773" s="1" t="s">
        <v>44</v>
      </c>
      <c r="H773" s="1" t="s">
        <v>70</v>
      </c>
      <c r="I773">
        <v>6</v>
      </c>
      <c r="J773">
        <v>59904.39</v>
      </c>
      <c r="K773">
        <v>0.1</v>
      </c>
      <c r="L773">
        <v>13143.57</v>
      </c>
      <c r="M773" s="1" t="s">
        <v>55</v>
      </c>
    </row>
    <row r="774" spans="1:13" x14ac:dyDescent="0.3">
      <c r="A774" s="1" t="s">
        <v>1498</v>
      </c>
      <c r="B774" s="2">
        <v>45925</v>
      </c>
      <c r="C774" s="1" t="s">
        <v>624</v>
      </c>
      <c r="D774" s="1" t="s">
        <v>625</v>
      </c>
      <c r="E774" s="1" t="s">
        <v>37</v>
      </c>
      <c r="F774" s="1" t="s">
        <v>25</v>
      </c>
      <c r="G774" s="1" t="s">
        <v>26</v>
      </c>
      <c r="H774" s="1" t="s">
        <v>86</v>
      </c>
      <c r="I774">
        <v>2</v>
      </c>
      <c r="J774">
        <v>8367.4</v>
      </c>
      <c r="K774">
        <v>0.05</v>
      </c>
      <c r="L774">
        <v>2112.3000000000002</v>
      </c>
      <c r="M774" s="1" t="s">
        <v>20</v>
      </c>
    </row>
    <row r="775" spans="1:13" x14ac:dyDescent="0.3">
      <c r="A775" s="1" t="s">
        <v>1499</v>
      </c>
      <c r="B775" s="2">
        <v>45711</v>
      </c>
      <c r="C775" s="1" t="s">
        <v>41</v>
      </c>
      <c r="D775" s="1" t="s">
        <v>42</v>
      </c>
      <c r="E775" s="1" t="s">
        <v>74</v>
      </c>
      <c r="F775" s="1" t="s">
        <v>25</v>
      </c>
      <c r="G775" s="1" t="s">
        <v>18</v>
      </c>
      <c r="H775" s="1" t="s">
        <v>97</v>
      </c>
      <c r="I775">
        <v>9</v>
      </c>
      <c r="J775">
        <v>21779.02</v>
      </c>
      <c r="K775">
        <v>0</v>
      </c>
      <c r="L775">
        <v>5600.22</v>
      </c>
      <c r="M775" s="1" t="s">
        <v>20</v>
      </c>
    </row>
    <row r="776" spans="1:13" x14ac:dyDescent="0.3">
      <c r="A776" s="1" t="s">
        <v>1500</v>
      </c>
      <c r="B776" s="2">
        <v>45893</v>
      </c>
      <c r="C776" s="1" t="s">
        <v>1501</v>
      </c>
      <c r="D776" s="1" t="s">
        <v>1502</v>
      </c>
      <c r="E776" s="1" t="s">
        <v>43</v>
      </c>
      <c r="F776" s="1" t="s">
        <v>17</v>
      </c>
      <c r="G776" s="1" t="s">
        <v>18</v>
      </c>
      <c r="H776" s="1" t="s">
        <v>122</v>
      </c>
      <c r="I776">
        <v>2</v>
      </c>
      <c r="J776">
        <v>5176.29</v>
      </c>
      <c r="K776">
        <v>0</v>
      </c>
      <c r="L776">
        <v>1575.73</v>
      </c>
      <c r="M776" s="1" t="s">
        <v>20</v>
      </c>
    </row>
    <row r="777" spans="1:13" x14ac:dyDescent="0.3">
      <c r="A777" s="1" t="s">
        <v>1503</v>
      </c>
      <c r="B777" s="2">
        <v>45879</v>
      </c>
      <c r="C777" s="1" t="s">
        <v>181</v>
      </c>
      <c r="D777" s="1" t="s">
        <v>182</v>
      </c>
      <c r="E777" s="1" t="s">
        <v>24</v>
      </c>
      <c r="F777" s="1" t="s">
        <v>25</v>
      </c>
      <c r="G777" s="1" t="s">
        <v>32</v>
      </c>
      <c r="H777" s="1" t="s">
        <v>33</v>
      </c>
      <c r="I777">
        <v>3</v>
      </c>
      <c r="J777">
        <v>22858.68</v>
      </c>
      <c r="K777">
        <v>0.25</v>
      </c>
      <c r="L777">
        <v>5470.47</v>
      </c>
      <c r="M777" s="1" t="s">
        <v>20</v>
      </c>
    </row>
    <row r="778" spans="1:13" x14ac:dyDescent="0.3">
      <c r="A778" s="1" t="s">
        <v>1504</v>
      </c>
      <c r="B778" s="2">
        <v>45908</v>
      </c>
      <c r="C778" s="1" t="s">
        <v>163</v>
      </c>
      <c r="D778" s="1" t="s">
        <v>164</v>
      </c>
      <c r="E778" s="1" t="s">
        <v>16</v>
      </c>
      <c r="F778" s="1" t="s">
        <v>25</v>
      </c>
      <c r="G778" s="1" t="s">
        <v>18</v>
      </c>
      <c r="H778" s="1" t="s">
        <v>122</v>
      </c>
      <c r="I778">
        <v>7</v>
      </c>
      <c r="J778">
        <v>14145.84</v>
      </c>
      <c r="K778">
        <v>0.05</v>
      </c>
      <c r="L778">
        <v>4595.5</v>
      </c>
      <c r="M778" s="1" t="s">
        <v>28</v>
      </c>
    </row>
    <row r="779" spans="1:13" x14ac:dyDescent="0.3">
      <c r="A779" s="1" t="s">
        <v>1505</v>
      </c>
      <c r="B779" s="2">
        <v>45970</v>
      </c>
      <c r="C779" s="1" t="s">
        <v>369</v>
      </c>
      <c r="D779" s="1" t="s">
        <v>370</v>
      </c>
      <c r="E779" s="1" t="s">
        <v>24</v>
      </c>
      <c r="F779" s="1" t="s">
        <v>25</v>
      </c>
      <c r="G779" s="1" t="s">
        <v>26</v>
      </c>
      <c r="H779" s="1" t="s">
        <v>49</v>
      </c>
      <c r="I779">
        <v>1</v>
      </c>
      <c r="J779">
        <v>2308.34</v>
      </c>
      <c r="K779">
        <v>0.05</v>
      </c>
      <c r="L779">
        <v>491.65</v>
      </c>
      <c r="M779" s="1" t="s">
        <v>50</v>
      </c>
    </row>
    <row r="780" spans="1:13" x14ac:dyDescent="0.3">
      <c r="A780" s="1" t="s">
        <v>1506</v>
      </c>
      <c r="B780" s="2">
        <v>45769</v>
      </c>
      <c r="C780" s="1" t="s">
        <v>648</v>
      </c>
      <c r="D780" s="1" t="s">
        <v>649</v>
      </c>
      <c r="E780" s="1" t="s">
        <v>43</v>
      </c>
      <c r="F780" s="1" t="s">
        <v>69</v>
      </c>
      <c r="G780" s="1" t="s">
        <v>32</v>
      </c>
      <c r="H780" s="1" t="s">
        <v>33</v>
      </c>
      <c r="I780">
        <v>10</v>
      </c>
      <c r="J780">
        <v>130543.25</v>
      </c>
      <c r="K780">
        <v>0.1</v>
      </c>
      <c r="L780">
        <v>24044.04</v>
      </c>
      <c r="M780" s="1" t="s">
        <v>28</v>
      </c>
    </row>
    <row r="781" spans="1:13" x14ac:dyDescent="0.3">
      <c r="A781" s="1" t="s">
        <v>1507</v>
      </c>
      <c r="B781" s="2">
        <v>45912</v>
      </c>
      <c r="C781" s="1" t="s">
        <v>674</v>
      </c>
      <c r="D781" s="1" t="s">
        <v>675</v>
      </c>
      <c r="E781" s="1" t="s">
        <v>43</v>
      </c>
      <c r="F781" s="1" t="s">
        <v>25</v>
      </c>
      <c r="G781" s="1" t="s">
        <v>32</v>
      </c>
      <c r="H781" s="1" t="s">
        <v>38</v>
      </c>
      <c r="I781">
        <v>4</v>
      </c>
      <c r="J781">
        <v>39801.339999999997</v>
      </c>
      <c r="K781">
        <v>0.1</v>
      </c>
      <c r="L781">
        <v>7683.02</v>
      </c>
      <c r="M781" s="1" t="s">
        <v>50</v>
      </c>
    </row>
    <row r="782" spans="1:13" x14ac:dyDescent="0.3">
      <c r="A782" s="1" t="s">
        <v>1508</v>
      </c>
      <c r="B782" s="2">
        <v>45960</v>
      </c>
      <c r="C782" s="1" t="s">
        <v>1509</v>
      </c>
      <c r="D782" s="1" t="s">
        <v>1510</v>
      </c>
      <c r="E782" s="1" t="s">
        <v>74</v>
      </c>
      <c r="F782" s="1" t="s">
        <v>25</v>
      </c>
      <c r="G782" s="1" t="s">
        <v>32</v>
      </c>
      <c r="H782" s="1" t="s">
        <v>59</v>
      </c>
      <c r="I782">
        <v>1</v>
      </c>
      <c r="J782">
        <v>8932.7199999999993</v>
      </c>
      <c r="K782">
        <v>0.2</v>
      </c>
      <c r="L782">
        <v>2200.12</v>
      </c>
      <c r="M782" s="1" t="s">
        <v>55</v>
      </c>
    </row>
    <row r="783" spans="1:13" x14ac:dyDescent="0.3">
      <c r="A783" s="1" t="s">
        <v>1511</v>
      </c>
      <c r="B783" s="2">
        <v>45864</v>
      </c>
      <c r="C783" s="1" t="s">
        <v>88</v>
      </c>
      <c r="D783" s="1" t="s">
        <v>89</v>
      </c>
      <c r="E783" s="1" t="s">
        <v>43</v>
      </c>
      <c r="F783" s="1" t="s">
        <v>25</v>
      </c>
      <c r="G783" s="1" t="s">
        <v>26</v>
      </c>
      <c r="H783" s="1" t="s">
        <v>86</v>
      </c>
      <c r="I783">
        <v>4</v>
      </c>
      <c r="J783">
        <v>14060.34</v>
      </c>
      <c r="K783">
        <v>0.15</v>
      </c>
      <c r="L783">
        <v>3514.55</v>
      </c>
      <c r="M783" s="1" t="s">
        <v>55</v>
      </c>
    </row>
    <row r="784" spans="1:13" x14ac:dyDescent="0.3">
      <c r="A784" s="1" t="s">
        <v>1512</v>
      </c>
      <c r="B784" s="2">
        <v>45886</v>
      </c>
      <c r="C784" s="1" t="s">
        <v>739</v>
      </c>
      <c r="D784" s="1" t="s">
        <v>740</v>
      </c>
      <c r="E784" s="1" t="s">
        <v>37</v>
      </c>
      <c r="F784" s="1" t="s">
        <v>25</v>
      </c>
      <c r="G784" s="1" t="s">
        <v>26</v>
      </c>
      <c r="H784" s="1" t="s">
        <v>49</v>
      </c>
      <c r="I784">
        <v>2</v>
      </c>
      <c r="J784">
        <v>7789.11</v>
      </c>
      <c r="K784">
        <v>0.05</v>
      </c>
      <c r="L784">
        <v>1691.57</v>
      </c>
      <c r="M784" s="1" t="s">
        <v>55</v>
      </c>
    </row>
    <row r="785" spans="1:13" x14ac:dyDescent="0.3">
      <c r="A785" s="1" t="s">
        <v>1513</v>
      </c>
      <c r="B785" s="2">
        <v>45998</v>
      </c>
      <c r="C785" s="1" t="s">
        <v>196</v>
      </c>
      <c r="D785" s="1" t="s">
        <v>197</v>
      </c>
      <c r="E785" s="1" t="s">
        <v>24</v>
      </c>
      <c r="F785" s="1" t="s">
        <v>25</v>
      </c>
      <c r="G785" s="1" t="s">
        <v>32</v>
      </c>
      <c r="H785" s="1" t="s">
        <v>59</v>
      </c>
      <c r="I785">
        <v>4</v>
      </c>
      <c r="J785">
        <v>46664.61</v>
      </c>
      <c r="K785">
        <v>0</v>
      </c>
      <c r="L785">
        <v>8525.33</v>
      </c>
      <c r="M785" s="1" t="s">
        <v>39</v>
      </c>
    </row>
    <row r="786" spans="1:13" x14ac:dyDescent="0.3">
      <c r="A786" s="1" t="s">
        <v>1514</v>
      </c>
      <c r="B786" s="2">
        <v>45723</v>
      </c>
      <c r="C786" s="1" t="s">
        <v>451</v>
      </c>
      <c r="D786" s="1" t="s">
        <v>452</v>
      </c>
      <c r="E786" s="1" t="s">
        <v>43</v>
      </c>
      <c r="F786" s="1" t="s">
        <v>69</v>
      </c>
      <c r="G786" s="1" t="s">
        <v>26</v>
      </c>
      <c r="H786" s="1" t="s">
        <v>231</v>
      </c>
      <c r="I786">
        <v>6</v>
      </c>
      <c r="J786">
        <v>26281.23</v>
      </c>
      <c r="K786">
        <v>0.1</v>
      </c>
      <c r="L786">
        <v>7047.21</v>
      </c>
      <c r="M786" s="1" t="s">
        <v>28</v>
      </c>
    </row>
    <row r="787" spans="1:13" x14ac:dyDescent="0.3">
      <c r="A787" s="1" t="s">
        <v>1515</v>
      </c>
      <c r="B787" s="2">
        <v>45732</v>
      </c>
      <c r="C787" s="1" t="s">
        <v>580</v>
      </c>
      <c r="D787" s="1" t="s">
        <v>581</v>
      </c>
      <c r="E787" s="1" t="s">
        <v>43</v>
      </c>
      <c r="F787" s="1" t="s">
        <v>25</v>
      </c>
      <c r="G787" s="1" t="s">
        <v>18</v>
      </c>
      <c r="H787" s="1" t="s">
        <v>141</v>
      </c>
      <c r="I787">
        <v>10</v>
      </c>
      <c r="J787">
        <v>15640.99</v>
      </c>
      <c r="K787">
        <v>0.1</v>
      </c>
      <c r="L787">
        <v>3654.06</v>
      </c>
      <c r="M787" s="1" t="s">
        <v>50</v>
      </c>
    </row>
    <row r="788" spans="1:13" x14ac:dyDescent="0.3">
      <c r="A788" s="1" t="s">
        <v>1516</v>
      </c>
      <c r="B788" s="2">
        <v>45760</v>
      </c>
      <c r="C788" s="1" t="s">
        <v>716</v>
      </c>
      <c r="D788" s="1" t="s">
        <v>717</v>
      </c>
      <c r="E788" s="1" t="s">
        <v>24</v>
      </c>
      <c r="F788" s="1" t="s">
        <v>25</v>
      </c>
      <c r="G788" s="1" t="s">
        <v>44</v>
      </c>
      <c r="H788" s="1" t="s">
        <v>70</v>
      </c>
      <c r="I788">
        <v>3</v>
      </c>
      <c r="J788">
        <v>33091.08</v>
      </c>
      <c r="K788">
        <v>0.05</v>
      </c>
      <c r="L788">
        <v>7265.65</v>
      </c>
      <c r="M788" s="1" t="s">
        <v>28</v>
      </c>
    </row>
    <row r="789" spans="1:13" x14ac:dyDescent="0.3">
      <c r="A789" s="1" t="s">
        <v>1517</v>
      </c>
      <c r="B789" s="2">
        <v>45849</v>
      </c>
      <c r="C789" s="1" t="s">
        <v>637</v>
      </c>
      <c r="D789" s="1" t="s">
        <v>638</v>
      </c>
      <c r="E789" s="1" t="s">
        <v>37</v>
      </c>
      <c r="F789" s="1" t="s">
        <v>17</v>
      </c>
      <c r="G789" s="1" t="s">
        <v>44</v>
      </c>
      <c r="H789" s="1" t="s">
        <v>70</v>
      </c>
      <c r="I789">
        <v>5</v>
      </c>
      <c r="J789">
        <v>44036.35</v>
      </c>
      <c r="K789">
        <v>0.1</v>
      </c>
      <c r="L789">
        <v>8904.0499999999993</v>
      </c>
      <c r="M789" s="1" t="s">
        <v>39</v>
      </c>
    </row>
    <row r="790" spans="1:13" x14ac:dyDescent="0.3">
      <c r="A790" s="1" t="s">
        <v>1518</v>
      </c>
      <c r="B790" s="2">
        <v>45909</v>
      </c>
      <c r="C790" s="1" t="s">
        <v>130</v>
      </c>
      <c r="D790" s="1" t="s">
        <v>131</v>
      </c>
      <c r="E790" s="1" t="s">
        <v>37</v>
      </c>
      <c r="F790" s="1" t="s">
        <v>25</v>
      </c>
      <c r="G790" s="1" t="s">
        <v>32</v>
      </c>
      <c r="H790" s="1" t="s">
        <v>54</v>
      </c>
      <c r="I790">
        <v>1</v>
      </c>
      <c r="J790">
        <v>15299.58</v>
      </c>
      <c r="K790">
        <v>0.2</v>
      </c>
      <c r="L790">
        <v>3345.09</v>
      </c>
      <c r="M790" s="1" t="s">
        <v>28</v>
      </c>
    </row>
    <row r="791" spans="1:13" x14ac:dyDescent="0.3">
      <c r="A791" s="1" t="s">
        <v>1519</v>
      </c>
      <c r="B791" s="2">
        <v>45883</v>
      </c>
      <c r="C791" s="1" t="s">
        <v>1520</v>
      </c>
      <c r="D791" s="1" t="s">
        <v>1521</v>
      </c>
      <c r="E791" s="1" t="s">
        <v>37</v>
      </c>
      <c r="F791" s="1" t="s">
        <v>25</v>
      </c>
      <c r="G791" s="1" t="s">
        <v>44</v>
      </c>
      <c r="H791" s="1" t="s">
        <v>90</v>
      </c>
      <c r="I791">
        <v>5</v>
      </c>
      <c r="J791">
        <v>23043.25</v>
      </c>
      <c r="K791">
        <v>0.2</v>
      </c>
      <c r="L791">
        <v>3674.74</v>
      </c>
      <c r="M791" s="1" t="s">
        <v>28</v>
      </c>
    </row>
    <row r="792" spans="1:13" x14ac:dyDescent="0.3">
      <c r="A792" s="1" t="s">
        <v>1522</v>
      </c>
      <c r="B792" s="2">
        <v>45951</v>
      </c>
      <c r="C792" s="1" t="s">
        <v>1060</v>
      </c>
      <c r="D792" s="1" t="s">
        <v>1061</v>
      </c>
      <c r="E792" s="1" t="s">
        <v>24</v>
      </c>
      <c r="F792" s="1" t="s">
        <v>17</v>
      </c>
      <c r="G792" s="1" t="s">
        <v>32</v>
      </c>
      <c r="H792" s="1" t="s">
        <v>79</v>
      </c>
      <c r="I792">
        <v>10</v>
      </c>
      <c r="J792">
        <v>123243.08</v>
      </c>
      <c r="K792">
        <v>0</v>
      </c>
      <c r="L792">
        <v>22617.360000000001</v>
      </c>
      <c r="M792" s="1" t="s">
        <v>50</v>
      </c>
    </row>
    <row r="793" spans="1:13" x14ac:dyDescent="0.3">
      <c r="A793" s="1" t="s">
        <v>1523</v>
      </c>
      <c r="B793" s="2">
        <v>45963</v>
      </c>
      <c r="C793" s="1" t="s">
        <v>1186</v>
      </c>
      <c r="D793" s="1" t="s">
        <v>1187</v>
      </c>
      <c r="E793" s="1" t="s">
        <v>74</v>
      </c>
      <c r="F793" s="1" t="s">
        <v>25</v>
      </c>
      <c r="G793" s="1" t="s">
        <v>32</v>
      </c>
      <c r="H793" s="1" t="s">
        <v>79</v>
      </c>
      <c r="I793">
        <v>8</v>
      </c>
      <c r="J793">
        <v>106339.57</v>
      </c>
      <c r="K793">
        <v>0.15</v>
      </c>
      <c r="L793">
        <v>18107.95</v>
      </c>
      <c r="M793" s="1" t="s">
        <v>39</v>
      </c>
    </row>
    <row r="794" spans="1:13" x14ac:dyDescent="0.3">
      <c r="A794" s="1" t="s">
        <v>1524</v>
      </c>
      <c r="B794" s="2">
        <v>45755</v>
      </c>
      <c r="C794" s="1" t="s">
        <v>814</v>
      </c>
      <c r="D794" s="1" t="s">
        <v>815</v>
      </c>
      <c r="E794" s="1" t="s">
        <v>24</v>
      </c>
      <c r="F794" s="1" t="s">
        <v>69</v>
      </c>
      <c r="G794" s="1" t="s">
        <v>32</v>
      </c>
      <c r="H794" s="1" t="s">
        <v>79</v>
      </c>
      <c r="I794">
        <v>1</v>
      </c>
      <c r="J794">
        <v>7667.56</v>
      </c>
      <c r="K794">
        <v>0.1</v>
      </c>
      <c r="L794">
        <v>1424.37</v>
      </c>
      <c r="M794" s="1" t="s">
        <v>28</v>
      </c>
    </row>
    <row r="795" spans="1:13" x14ac:dyDescent="0.3">
      <c r="A795" s="1" t="s">
        <v>1525</v>
      </c>
      <c r="B795" s="2">
        <v>45995</v>
      </c>
      <c r="C795" s="1" t="s">
        <v>1526</v>
      </c>
      <c r="D795" s="1" t="s">
        <v>1527</v>
      </c>
      <c r="E795" s="1" t="s">
        <v>16</v>
      </c>
      <c r="F795" s="1" t="s">
        <v>69</v>
      </c>
      <c r="G795" s="1" t="s">
        <v>44</v>
      </c>
      <c r="H795" s="1" t="s">
        <v>45</v>
      </c>
      <c r="I795">
        <v>10</v>
      </c>
      <c r="J795">
        <v>95146.99</v>
      </c>
      <c r="K795">
        <v>0.1</v>
      </c>
      <c r="L795">
        <v>15176.98</v>
      </c>
      <c r="M795" s="1" t="s">
        <v>50</v>
      </c>
    </row>
    <row r="796" spans="1:13" x14ac:dyDescent="0.3">
      <c r="A796" s="1" t="s">
        <v>1528</v>
      </c>
      <c r="B796" s="2">
        <v>45943</v>
      </c>
      <c r="C796" s="1" t="s">
        <v>1501</v>
      </c>
      <c r="D796" s="1" t="s">
        <v>1502</v>
      </c>
      <c r="E796" s="1" t="s">
        <v>24</v>
      </c>
      <c r="F796" s="1" t="s">
        <v>25</v>
      </c>
      <c r="G796" s="1" t="s">
        <v>26</v>
      </c>
      <c r="H796" s="1" t="s">
        <v>27</v>
      </c>
      <c r="I796">
        <v>10</v>
      </c>
      <c r="J796">
        <v>31717.94</v>
      </c>
      <c r="K796">
        <v>0.1</v>
      </c>
      <c r="L796">
        <v>6742.61</v>
      </c>
      <c r="M796" s="1" t="s">
        <v>50</v>
      </c>
    </row>
    <row r="797" spans="1:13" x14ac:dyDescent="0.3">
      <c r="A797" s="1" t="s">
        <v>1529</v>
      </c>
      <c r="B797" s="2">
        <v>45992</v>
      </c>
      <c r="C797" s="1" t="s">
        <v>1530</v>
      </c>
      <c r="D797" s="1" t="s">
        <v>1531</v>
      </c>
      <c r="E797" s="1" t="s">
        <v>74</v>
      </c>
      <c r="F797" s="1" t="s">
        <v>69</v>
      </c>
      <c r="G797" s="1" t="s">
        <v>18</v>
      </c>
      <c r="H797" s="1" t="s">
        <v>145</v>
      </c>
      <c r="I797">
        <v>5</v>
      </c>
      <c r="J797">
        <v>9583.4500000000007</v>
      </c>
      <c r="K797">
        <v>0.15</v>
      </c>
      <c r="L797">
        <v>2807.1</v>
      </c>
      <c r="M797" s="1" t="s">
        <v>28</v>
      </c>
    </row>
    <row r="798" spans="1:13" x14ac:dyDescent="0.3">
      <c r="A798" s="1" t="s">
        <v>1532</v>
      </c>
      <c r="B798" s="2">
        <v>46004</v>
      </c>
      <c r="C798" s="1" t="s">
        <v>1119</v>
      </c>
      <c r="D798" s="1" t="s">
        <v>1120</v>
      </c>
      <c r="E798" s="1" t="s">
        <v>74</v>
      </c>
      <c r="F798" s="1" t="s">
        <v>25</v>
      </c>
      <c r="G798" s="1" t="s">
        <v>44</v>
      </c>
      <c r="H798" s="1" t="s">
        <v>155</v>
      </c>
      <c r="I798">
        <v>6</v>
      </c>
      <c r="J798">
        <v>63321.06</v>
      </c>
      <c r="K798">
        <v>0.1</v>
      </c>
      <c r="L798">
        <v>12460.36</v>
      </c>
      <c r="M798" s="1" t="s">
        <v>28</v>
      </c>
    </row>
    <row r="799" spans="1:13" x14ac:dyDescent="0.3">
      <c r="A799" s="1" t="s">
        <v>1533</v>
      </c>
      <c r="B799" s="2">
        <v>45965</v>
      </c>
      <c r="C799" s="1" t="s">
        <v>703</v>
      </c>
      <c r="D799" s="1" t="s">
        <v>704</v>
      </c>
      <c r="E799" s="1" t="s">
        <v>16</v>
      </c>
      <c r="F799" s="1" t="s">
        <v>25</v>
      </c>
      <c r="G799" s="1" t="s">
        <v>18</v>
      </c>
      <c r="H799" s="1" t="s">
        <v>122</v>
      </c>
      <c r="I799">
        <v>4</v>
      </c>
      <c r="J799">
        <v>5545.95</v>
      </c>
      <c r="K799">
        <v>0.2</v>
      </c>
      <c r="L799">
        <v>1415.22</v>
      </c>
      <c r="M799" s="1" t="s">
        <v>39</v>
      </c>
    </row>
    <row r="800" spans="1:13" x14ac:dyDescent="0.3">
      <c r="A800" s="1" t="s">
        <v>1534</v>
      </c>
      <c r="B800" s="2">
        <v>45906</v>
      </c>
      <c r="C800" s="1" t="s">
        <v>1265</v>
      </c>
      <c r="D800" s="1" t="s">
        <v>1266</v>
      </c>
      <c r="E800" s="1" t="s">
        <v>37</v>
      </c>
      <c r="F800" s="1" t="s">
        <v>25</v>
      </c>
      <c r="G800" s="1" t="s">
        <v>44</v>
      </c>
      <c r="H800" s="1" t="s">
        <v>45</v>
      </c>
      <c r="I800">
        <v>10</v>
      </c>
      <c r="J800">
        <v>137893.03</v>
      </c>
      <c r="K800">
        <v>0</v>
      </c>
      <c r="L800">
        <v>22337.01</v>
      </c>
      <c r="M800" s="1" t="s">
        <v>50</v>
      </c>
    </row>
    <row r="801" spans="1:13" x14ac:dyDescent="0.3">
      <c r="A801" s="1" t="s">
        <v>1535</v>
      </c>
      <c r="B801" s="2">
        <v>45823</v>
      </c>
      <c r="C801" s="1" t="s">
        <v>780</v>
      </c>
      <c r="D801" s="1" t="s">
        <v>781</v>
      </c>
      <c r="E801" s="1" t="s">
        <v>16</v>
      </c>
      <c r="F801" s="1" t="s">
        <v>69</v>
      </c>
      <c r="G801" s="1" t="s">
        <v>44</v>
      </c>
      <c r="H801" s="1" t="s">
        <v>45</v>
      </c>
      <c r="I801">
        <v>6</v>
      </c>
      <c r="J801">
        <v>70049.52</v>
      </c>
      <c r="K801">
        <v>0.1</v>
      </c>
      <c r="L801">
        <v>10043.43</v>
      </c>
      <c r="M801" s="1" t="s">
        <v>20</v>
      </c>
    </row>
    <row r="802" spans="1:13" x14ac:dyDescent="0.3">
      <c r="A802" s="1" t="s">
        <v>1536</v>
      </c>
      <c r="B802" s="2">
        <v>45992</v>
      </c>
      <c r="C802" s="1" t="s">
        <v>932</v>
      </c>
      <c r="D802" s="1" t="s">
        <v>933</v>
      </c>
      <c r="E802" s="1" t="s">
        <v>24</v>
      </c>
      <c r="F802" s="1" t="s">
        <v>25</v>
      </c>
      <c r="G802" s="1" t="s">
        <v>44</v>
      </c>
      <c r="H802" s="1" t="s">
        <v>155</v>
      </c>
      <c r="I802">
        <v>9</v>
      </c>
      <c r="J802">
        <v>94123.36</v>
      </c>
      <c r="K802">
        <v>0.05</v>
      </c>
      <c r="L802">
        <v>14361</v>
      </c>
      <c r="M802" s="1" t="s">
        <v>28</v>
      </c>
    </row>
    <row r="803" spans="1:13" x14ac:dyDescent="0.3">
      <c r="A803" s="1" t="s">
        <v>1537</v>
      </c>
      <c r="B803" s="2">
        <v>45687</v>
      </c>
      <c r="C803" s="1" t="s">
        <v>521</v>
      </c>
      <c r="D803" s="1" t="s">
        <v>522</v>
      </c>
      <c r="E803" s="1" t="s">
        <v>74</v>
      </c>
      <c r="F803" s="1" t="s">
        <v>25</v>
      </c>
      <c r="G803" s="1" t="s">
        <v>44</v>
      </c>
      <c r="H803" s="1" t="s">
        <v>155</v>
      </c>
      <c r="I803">
        <v>10</v>
      </c>
      <c r="J803">
        <v>92893.19</v>
      </c>
      <c r="K803">
        <v>0.2</v>
      </c>
      <c r="L803">
        <v>16229.93</v>
      </c>
      <c r="M803" s="1" t="s">
        <v>55</v>
      </c>
    </row>
    <row r="804" spans="1:13" x14ac:dyDescent="0.3">
      <c r="A804" s="1" t="s">
        <v>1538</v>
      </c>
      <c r="B804" s="2">
        <v>45904</v>
      </c>
      <c r="C804" s="1" t="s">
        <v>1222</v>
      </c>
      <c r="D804" s="1" t="s">
        <v>1223</v>
      </c>
      <c r="E804" s="1" t="s">
        <v>16</v>
      </c>
      <c r="F804" s="1" t="s">
        <v>69</v>
      </c>
      <c r="G804" s="1" t="s">
        <v>44</v>
      </c>
      <c r="H804" s="1" t="s">
        <v>45</v>
      </c>
      <c r="I804">
        <v>10</v>
      </c>
      <c r="J804">
        <v>94291.34</v>
      </c>
      <c r="K804">
        <v>0.15</v>
      </c>
      <c r="L804">
        <v>12525.07</v>
      </c>
      <c r="M804" s="1" t="s">
        <v>20</v>
      </c>
    </row>
    <row r="805" spans="1:13" x14ac:dyDescent="0.3">
      <c r="A805" s="1" t="s">
        <v>1539</v>
      </c>
      <c r="B805" s="2">
        <v>45763</v>
      </c>
      <c r="C805" s="1" t="s">
        <v>1540</v>
      </c>
      <c r="D805" s="1" t="s">
        <v>1541</v>
      </c>
      <c r="E805" s="1" t="s">
        <v>74</v>
      </c>
      <c r="F805" s="1" t="s">
        <v>69</v>
      </c>
      <c r="G805" s="1" t="s">
        <v>44</v>
      </c>
      <c r="H805" s="1" t="s">
        <v>90</v>
      </c>
      <c r="I805">
        <v>1</v>
      </c>
      <c r="J805">
        <v>6779.01</v>
      </c>
      <c r="K805">
        <v>0.05</v>
      </c>
      <c r="L805">
        <v>1110.23</v>
      </c>
      <c r="M805" s="1" t="s">
        <v>55</v>
      </c>
    </row>
    <row r="806" spans="1:13" x14ac:dyDescent="0.3">
      <c r="A806" s="1" t="s">
        <v>1542</v>
      </c>
      <c r="B806" s="2">
        <v>45708</v>
      </c>
      <c r="C806" s="1" t="s">
        <v>14</v>
      </c>
      <c r="D806" s="1" t="s">
        <v>15</v>
      </c>
      <c r="E806" s="1" t="s">
        <v>74</v>
      </c>
      <c r="F806" s="1" t="s">
        <v>25</v>
      </c>
      <c r="G806" s="1" t="s">
        <v>18</v>
      </c>
      <c r="H806" s="1" t="s">
        <v>97</v>
      </c>
      <c r="I806">
        <v>10</v>
      </c>
      <c r="J806">
        <v>18712.650000000001</v>
      </c>
      <c r="K806">
        <v>0.1</v>
      </c>
      <c r="L806">
        <v>4862.8</v>
      </c>
      <c r="M806" s="1" t="s">
        <v>20</v>
      </c>
    </row>
    <row r="807" spans="1:13" x14ac:dyDescent="0.3">
      <c r="A807" s="1" t="s">
        <v>1543</v>
      </c>
      <c r="B807" s="2">
        <v>45738</v>
      </c>
      <c r="C807" s="1" t="s">
        <v>386</v>
      </c>
      <c r="D807" s="1" t="s">
        <v>387</v>
      </c>
      <c r="E807" s="1" t="s">
        <v>24</v>
      </c>
      <c r="F807" s="1" t="s">
        <v>25</v>
      </c>
      <c r="G807" s="1" t="s">
        <v>44</v>
      </c>
      <c r="H807" s="1" t="s">
        <v>75</v>
      </c>
      <c r="I807">
        <v>8</v>
      </c>
      <c r="J807">
        <v>51715.45</v>
      </c>
      <c r="K807">
        <v>0.1</v>
      </c>
      <c r="L807">
        <v>7059.16</v>
      </c>
      <c r="M807" s="1" t="s">
        <v>20</v>
      </c>
    </row>
    <row r="808" spans="1:13" x14ac:dyDescent="0.3">
      <c r="A808" s="1" t="s">
        <v>1544</v>
      </c>
      <c r="B808" s="2">
        <v>45790</v>
      </c>
      <c r="C808" s="1" t="s">
        <v>77</v>
      </c>
      <c r="D808" s="1" t="s">
        <v>78</v>
      </c>
      <c r="E808" s="1" t="s">
        <v>74</v>
      </c>
      <c r="F808" s="1" t="s">
        <v>17</v>
      </c>
      <c r="G808" s="1" t="s">
        <v>32</v>
      </c>
      <c r="H808" s="1" t="s">
        <v>38</v>
      </c>
      <c r="I808">
        <v>5</v>
      </c>
      <c r="J808">
        <v>58417.4</v>
      </c>
      <c r="K808">
        <v>0.15</v>
      </c>
      <c r="L808">
        <v>12632.51</v>
      </c>
      <c r="M808" s="1" t="s">
        <v>39</v>
      </c>
    </row>
    <row r="809" spans="1:13" x14ac:dyDescent="0.3">
      <c r="A809" s="1" t="s">
        <v>1545</v>
      </c>
      <c r="B809" s="2">
        <v>45942</v>
      </c>
      <c r="C809" s="1" t="s">
        <v>249</v>
      </c>
      <c r="D809" s="1" t="s">
        <v>250</v>
      </c>
      <c r="E809" s="1" t="s">
        <v>37</v>
      </c>
      <c r="F809" s="1" t="s">
        <v>69</v>
      </c>
      <c r="G809" s="1" t="s">
        <v>18</v>
      </c>
      <c r="H809" s="1" t="s">
        <v>97</v>
      </c>
      <c r="I809">
        <v>7</v>
      </c>
      <c r="J809">
        <v>5669.25</v>
      </c>
      <c r="K809">
        <v>0.2</v>
      </c>
      <c r="L809">
        <v>1329.49</v>
      </c>
      <c r="M809" s="1" t="s">
        <v>50</v>
      </c>
    </row>
    <row r="810" spans="1:13" x14ac:dyDescent="0.3">
      <c r="A810" s="1" t="s">
        <v>1546</v>
      </c>
      <c r="B810" s="2">
        <v>45795</v>
      </c>
      <c r="C810" s="1" t="s">
        <v>1011</v>
      </c>
      <c r="D810" s="1" t="s">
        <v>1012</v>
      </c>
      <c r="E810" s="1" t="s">
        <v>37</v>
      </c>
      <c r="F810" s="1" t="s">
        <v>25</v>
      </c>
      <c r="G810" s="1" t="s">
        <v>26</v>
      </c>
      <c r="H810" s="1" t="s">
        <v>27</v>
      </c>
      <c r="I810">
        <v>4</v>
      </c>
      <c r="J810">
        <v>16156.1</v>
      </c>
      <c r="K810">
        <v>0.1</v>
      </c>
      <c r="L810">
        <v>3550</v>
      </c>
      <c r="M810" s="1" t="s">
        <v>55</v>
      </c>
    </row>
    <row r="811" spans="1:13" x14ac:dyDescent="0.3">
      <c r="A811" s="1" t="s">
        <v>1547</v>
      </c>
      <c r="B811" s="2">
        <v>45841</v>
      </c>
      <c r="C811" s="1" t="s">
        <v>457</v>
      </c>
      <c r="D811" s="1" t="s">
        <v>458</v>
      </c>
      <c r="E811" s="1" t="s">
        <v>24</v>
      </c>
      <c r="F811" s="1" t="s">
        <v>25</v>
      </c>
      <c r="G811" s="1" t="s">
        <v>32</v>
      </c>
      <c r="H811" s="1" t="s">
        <v>59</v>
      </c>
      <c r="I811">
        <v>9</v>
      </c>
      <c r="J811">
        <v>163114.35999999999</v>
      </c>
      <c r="K811">
        <v>0.05</v>
      </c>
      <c r="L811">
        <v>31536.47</v>
      </c>
      <c r="M811" s="1" t="s">
        <v>55</v>
      </c>
    </row>
    <row r="812" spans="1:13" x14ac:dyDescent="0.3">
      <c r="A812" s="1" t="s">
        <v>1548</v>
      </c>
      <c r="B812" s="2">
        <v>45987</v>
      </c>
      <c r="C812" s="1" t="s">
        <v>838</v>
      </c>
      <c r="D812" s="1" t="s">
        <v>839</v>
      </c>
      <c r="E812" s="1" t="s">
        <v>16</v>
      </c>
      <c r="F812" s="1" t="s">
        <v>25</v>
      </c>
      <c r="G812" s="1" t="s">
        <v>18</v>
      </c>
      <c r="H812" s="1" t="s">
        <v>97</v>
      </c>
      <c r="I812">
        <v>1</v>
      </c>
      <c r="J812">
        <v>2103.02</v>
      </c>
      <c r="K812">
        <v>0</v>
      </c>
      <c r="L812">
        <v>516.57000000000005</v>
      </c>
      <c r="M812" s="1" t="s">
        <v>55</v>
      </c>
    </row>
    <row r="813" spans="1:13" x14ac:dyDescent="0.3">
      <c r="A813" s="1" t="s">
        <v>1549</v>
      </c>
      <c r="B813" s="2">
        <v>45930</v>
      </c>
      <c r="C813" s="1" t="s">
        <v>1550</v>
      </c>
      <c r="D813" s="1" t="s">
        <v>1551</v>
      </c>
      <c r="E813" s="1" t="s">
        <v>43</v>
      </c>
      <c r="F813" s="1" t="s">
        <v>25</v>
      </c>
      <c r="G813" s="1" t="s">
        <v>18</v>
      </c>
      <c r="H813" s="1" t="s">
        <v>97</v>
      </c>
      <c r="I813">
        <v>10</v>
      </c>
      <c r="J813">
        <v>13403.02</v>
      </c>
      <c r="K813">
        <v>0.1</v>
      </c>
      <c r="L813">
        <v>3297.95</v>
      </c>
      <c r="M813" s="1" t="s">
        <v>55</v>
      </c>
    </row>
    <row r="814" spans="1:13" x14ac:dyDescent="0.3">
      <c r="A814" s="1" t="s">
        <v>1552</v>
      </c>
      <c r="B814" s="2">
        <v>45997</v>
      </c>
      <c r="C814" s="1" t="s">
        <v>294</v>
      </c>
      <c r="D814" s="1" t="s">
        <v>295</v>
      </c>
      <c r="E814" s="1" t="s">
        <v>16</v>
      </c>
      <c r="F814" s="1" t="s">
        <v>17</v>
      </c>
      <c r="G814" s="1" t="s">
        <v>18</v>
      </c>
      <c r="H814" s="1" t="s">
        <v>19</v>
      </c>
      <c r="I814">
        <v>6</v>
      </c>
      <c r="J814">
        <v>14828.13</v>
      </c>
      <c r="K814">
        <v>0.1</v>
      </c>
      <c r="L814">
        <v>4292.8100000000004</v>
      </c>
      <c r="M814" s="1" t="s">
        <v>28</v>
      </c>
    </row>
    <row r="815" spans="1:13" x14ac:dyDescent="0.3">
      <c r="A815" s="1" t="s">
        <v>1553</v>
      </c>
      <c r="B815" s="2">
        <v>45726</v>
      </c>
      <c r="C815" s="1" t="s">
        <v>270</v>
      </c>
      <c r="D815" s="1" t="s">
        <v>271</v>
      </c>
      <c r="E815" s="1" t="s">
        <v>24</v>
      </c>
      <c r="F815" s="1" t="s">
        <v>69</v>
      </c>
      <c r="G815" s="1" t="s">
        <v>44</v>
      </c>
      <c r="H815" s="1" t="s">
        <v>70</v>
      </c>
      <c r="I815">
        <v>4</v>
      </c>
      <c r="J815">
        <v>38978.730000000003</v>
      </c>
      <c r="K815">
        <v>0.1</v>
      </c>
      <c r="L815">
        <v>8413.07</v>
      </c>
      <c r="M815" s="1" t="s">
        <v>39</v>
      </c>
    </row>
    <row r="816" spans="1:13" x14ac:dyDescent="0.3">
      <c r="A816" s="1" t="s">
        <v>1554</v>
      </c>
      <c r="B816" s="2">
        <v>45691</v>
      </c>
      <c r="C816" s="1" t="s">
        <v>1555</v>
      </c>
      <c r="D816" s="1" t="s">
        <v>1556</v>
      </c>
      <c r="E816" s="1" t="s">
        <v>43</v>
      </c>
      <c r="F816" s="1" t="s">
        <v>69</v>
      </c>
      <c r="G816" s="1" t="s">
        <v>18</v>
      </c>
      <c r="H816" s="1" t="s">
        <v>97</v>
      </c>
      <c r="I816">
        <v>7</v>
      </c>
      <c r="J816">
        <v>13935.59</v>
      </c>
      <c r="K816">
        <v>0.2</v>
      </c>
      <c r="L816">
        <v>3795.96</v>
      </c>
      <c r="M816" s="1" t="s">
        <v>28</v>
      </c>
    </row>
    <row r="817" spans="1:13" x14ac:dyDescent="0.3">
      <c r="A817" s="1" t="s">
        <v>1557</v>
      </c>
      <c r="B817" s="2">
        <v>45919</v>
      </c>
      <c r="C817" s="1" t="s">
        <v>297</v>
      </c>
      <c r="D817" s="1" t="s">
        <v>298</v>
      </c>
      <c r="E817" s="1" t="s">
        <v>16</v>
      </c>
      <c r="F817" s="1" t="s">
        <v>25</v>
      </c>
      <c r="G817" s="1" t="s">
        <v>32</v>
      </c>
      <c r="H817" s="1" t="s">
        <v>54</v>
      </c>
      <c r="I817">
        <v>3</v>
      </c>
      <c r="J817">
        <v>39987.1</v>
      </c>
      <c r="K817">
        <v>0.05</v>
      </c>
      <c r="L817">
        <v>6989.58</v>
      </c>
      <c r="M817" s="1" t="s">
        <v>20</v>
      </c>
    </row>
    <row r="818" spans="1:13" x14ac:dyDescent="0.3">
      <c r="A818" s="1" t="s">
        <v>1558</v>
      </c>
      <c r="B818" s="2">
        <v>45710</v>
      </c>
      <c r="C818" s="1" t="s">
        <v>1282</v>
      </c>
      <c r="D818" s="1" t="s">
        <v>1283</v>
      </c>
      <c r="E818" s="1" t="s">
        <v>16</v>
      </c>
      <c r="F818" s="1" t="s">
        <v>25</v>
      </c>
      <c r="G818" s="1" t="s">
        <v>18</v>
      </c>
      <c r="H818" s="1" t="s">
        <v>141</v>
      </c>
      <c r="I818">
        <v>10</v>
      </c>
      <c r="J818">
        <v>9602.09</v>
      </c>
      <c r="K818">
        <v>0.05</v>
      </c>
      <c r="L818">
        <v>2505.44</v>
      </c>
      <c r="M818" s="1" t="s">
        <v>28</v>
      </c>
    </row>
    <row r="819" spans="1:13" x14ac:dyDescent="0.3">
      <c r="A819" s="1" t="s">
        <v>1559</v>
      </c>
      <c r="B819" s="2">
        <v>45862</v>
      </c>
      <c r="C819" s="1" t="s">
        <v>1335</v>
      </c>
      <c r="D819" s="1" t="s">
        <v>1336</v>
      </c>
      <c r="E819" s="1" t="s">
        <v>37</v>
      </c>
      <c r="F819" s="1" t="s">
        <v>25</v>
      </c>
      <c r="G819" s="1" t="s">
        <v>26</v>
      </c>
      <c r="H819" s="1" t="s">
        <v>49</v>
      </c>
      <c r="I819">
        <v>5</v>
      </c>
      <c r="J819">
        <v>7859.76</v>
      </c>
      <c r="K819">
        <v>0.2</v>
      </c>
      <c r="L819">
        <v>2327.67</v>
      </c>
      <c r="M819" s="1" t="s">
        <v>28</v>
      </c>
    </row>
    <row r="820" spans="1:13" x14ac:dyDescent="0.3">
      <c r="A820" s="1" t="s">
        <v>1560</v>
      </c>
      <c r="B820" s="2">
        <v>45783</v>
      </c>
      <c r="C820" s="1" t="s">
        <v>1203</v>
      </c>
      <c r="D820" s="1" t="s">
        <v>1204</v>
      </c>
      <c r="E820" s="1" t="s">
        <v>37</v>
      </c>
      <c r="F820" s="1" t="s">
        <v>25</v>
      </c>
      <c r="G820" s="1" t="s">
        <v>18</v>
      </c>
      <c r="H820" s="1" t="s">
        <v>19</v>
      </c>
      <c r="I820">
        <v>5</v>
      </c>
      <c r="J820">
        <v>4884.67</v>
      </c>
      <c r="K820">
        <v>0.1</v>
      </c>
      <c r="L820">
        <v>1250.51</v>
      </c>
      <c r="M820" s="1" t="s">
        <v>50</v>
      </c>
    </row>
    <row r="821" spans="1:13" x14ac:dyDescent="0.3">
      <c r="A821" s="1" t="s">
        <v>1561</v>
      </c>
      <c r="B821" s="2">
        <v>45892</v>
      </c>
      <c r="C821" s="1" t="s">
        <v>1562</v>
      </c>
      <c r="D821" s="1" t="s">
        <v>1563</v>
      </c>
      <c r="E821" s="1" t="s">
        <v>24</v>
      </c>
      <c r="F821" s="1" t="s">
        <v>25</v>
      </c>
      <c r="G821" s="1" t="s">
        <v>32</v>
      </c>
      <c r="H821" s="1" t="s">
        <v>33</v>
      </c>
      <c r="I821">
        <v>3</v>
      </c>
      <c r="J821">
        <v>33315.99</v>
      </c>
      <c r="K821">
        <v>0.2</v>
      </c>
      <c r="L821">
        <v>6135.51</v>
      </c>
      <c r="M821" s="1" t="s">
        <v>50</v>
      </c>
    </row>
    <row r="822" spans="1:13" x14ac:dyDescent="0.3">
      <c r="A822" s="1" t="s">
        <v>1564</v>
      </c>
      <c r="B822" s="2">
        <v>45700</v>
      </c>
      <c r="C822" s="1" t="s">
        <v>1367</v>
      </c>
      <c r="D822" s="1" t="s">
        <v>1368</v>
      </c>
      <c r="E822" s="1" t="s">
        <v>74</v>
      </c>
      <c r="F822" s="1" t="s">
        <v>25</v>
      </c>
      <c r="G822" s="1" t="s">
        <v>18</v>
      </c>
      <c r="H822" s="1" t="s">
        <v>141</v>
      </c>
      <c r="I822">
        <v>8</v>
      </c>
      <c r="J822">
        <v>9450.81</v>
      </c>
      <c r="K822">
        <v>0.2</v>
      </c>
      <c r="L822">
        <v>3114.61</v>
      </c>
      <c r="M822" s="1" t="s">
        <v>28</v>
      </c>
    </row>
    <row r="823" spans="1:13" x14ac:dyDescent="0.3">
      <c r="A823" s="1" t="s">
        <v>1565</v>
      </c>
      <c r="B823" s="2">
        <v>45897</v>
      </c>
      <c r="C823" s="1" t="s">
        <v>527</v>
      </c>
      <c r="D823" s="1" t="s">
        <v>528</v>
      </c>
      <c r="E823" s="1" t="s">
        <v>24</v>
      </c>
      <c r="F823" s="1" t="s">
        <v>25</v>
      </c>
      <c r="G823" s="1" t="s">
        <v>18</v>
      </c>
      <c r="H823" s="1" t="s">
        <v>19</v>
      </c>
      <c r="I823">
        <v>2</v>
      </c>
      <c r="J823">
        <v>2180.6999999999998</v>
      </c>
      <c r="K823">
        <v>0</v>
      </c>
      <c r="L823">
        <v>699.53</v>
      </c>
      <c r="M823" s="1" t="s">
        <v>50</v>
      </c>
    </row>
    <row r="824" spans="1:13" x14ac:dyDescent="0.3">
      <c r="A824" s="1" t="s">
        <v>1566</v>
      </c>
      <c r="B824" s="2">
        <v>45768</v>
      </c>
      <c r="C824" s="1" t="s">
        <v>1567</v>
      </c>
      <c r="D824" s="1" t="s">
        <v>1568</v>
      </c>
      <c r="E824" s="1" t="s">
        <v>74</v>
      </c>
      <c r="F824" s="1" t="s">
        <v>25</v>
      </c>
      <c r="G824" s="1" t="s">
        <v>44</v>
      </c>
      <c r="H824" s="1" t="s">
        <v>90</v>
      </c>
      <c r="I824">
        <v>9</v>
      </c>
      <c r="J824">
        <v>74604.08</v>
      </c>
      <c r="K824">
        <v>0.1</v>
      </c>
      <c r="L824">
        <v>9963.99</v>
      </c>
      <c r="M824" s="1" t="s">
        <v>28</v>
      </c>
    </row>
    <row r="825" spans="1:13" x14ac:dyDescent="0.3">
      <c r="A825" s="1" t="s">
        <v>1569</v>
      </c>
      <c r="B825" s="2">
        <v>45906</v>
      </c>
      <c r="C825" s="1" t="s">
        <v>1082</v>
      </c>
      <c r="D825" s="1" t="s">
        <v>1083</v>
      </c>
      <c r="E825" s="1" t="s">
        <v>16</v>
      </c>
      <c r="F825" s="1" t="s">
        <v>25</v>
      </c>
      <c r="G825" s="1" t="s">
        <v>44</v>
      </c>
      <c r="H825" s="1" t="s">
        <v>90</v>
      </c>
      <c r="I825">
        <v>8</v>
      </c>
      <c r="J825">
        <v>88075.89</v>
      </c>
      <c r="K825">
        <v>0.2</v>
      </c>
      <c r="L825">
        <v>19090.25</v>
      </c>
      <c r="M825" s="1" t="s">
        <v>28</v>
      </c>
    </row>
    <row r="826" spans="1:13" x14ac:dyDescent="0.3">
      <c r="A826" s="1" t="s">
        <v>1570</v>
      </c>
      <c r="B826" s="2">
        <v>45808</v>
      </c>
      <c r="C826" s="1" t="s">
        <v>363</v>
      </c>
      <c r="D826" s="1" t="s">
        <v>364</v>
      </c>
      <c r="E826" s="1" t="s">
        <v>24</v>
      </c>
      <c r="F826" s="1" t="s">
        <v>25</v>
      </c>
      <c r="G826" s="1" t="s">
        <v>18</v>
      </c>
      <c r="H826" s="1" t="s">
        <v>145</v>
      </c>
      <c r="I826">
        <v>3</v>
      </c>
      <c r="J826">
        <v>4736.04</v>
      </c>
      <c r="K826">
        <v>0.1</v>
      </c>
      <c r="L826">
        <v>1222.2</v>
      </c>
      <c r="M826" s="1" t="s">
        <v>39</v>
      </c>
    </row>
    <row r="827" spans="1:13" x14ac:dyDescent="0.3">
      <c r="A827" s="1" t="s">
        <v>1571</v>
      </c>
      <c r="B827" s="2">
        <v>45840</v>
      </c>
      <c r="C827" s="1" t="s">
        <v>102</v>
      </c>
      <c r="D827" s="1" t="s">
        <v>103</v>
      </c>
      <c r="E827" s="1" t="s">
        <v>74</v>
      </c>
      <c r="F827" s="1" t="s">
        <v>25</v>
      </c>
      <c r="G827" s="1" t="s">
        <v>32</v>
      </c>
      <c r="H827" s="1" t="s">
        <v>54</v>
      </c>
      <c r="I827">
        <v>6</v>
      </c>
      <c r="J827">
        <v>102023.57</v>
      </c>
      <c r="K827">
        <v>0.2</v>
      </c>
      <c r="L827">
        <v>26363.66</v>
      </c>
      <c r="M827" s="1" t="s">
        <v>55</v>
      </c>
    </row>
    <row r="828" spans="1:13" x14ac:dyDescent="0.3">
      <c r="A828" s="1" t="s">
        <v>1572</v>
      </c>
      <c r="B828" s="2">
        <v>45993</v>
      </c>
      <c r="C828" s="1" t="s">
        <v>1021</v>
      </c>
      <c r="D828" s="1" t="s">
        <v>1022</v>
      </c>
      <c r="E828" s="1" t="s">
        <v>24</v>
      </c>
      <c r="F828" s="1" t="s">
        <v>25</v>
      </c>
      <c r="G828" s="1" t="s">
        <v>26</v>
      </c>
      <c r="H828" s="1" t="s">
        <v>244</v>
      </c>
      <c r="I828">
        <v>5</v>
      </c>
      <c r="J828">
        <v>21215.51</v>
      </c>
      <c r="K828">
        <v>0.1</v>
      </c>
      <c r="L828">
        <v>6038.35</v>
      </c>
      <c r="M828" s="1" t="s">
        <v>55</v>
      </c>
    </row>
    <row r="829" spans="1:13" x14ac:dyDescent="0.3">
      <c r="A829" s="1" t="s">
        <v>1573</v>
      </c>
      <c r="B829" s="2">
        <v>45752</v>
      </c>
      <c r="C829" s="1" t="s">
        <v>1222</v>
      </c>
      <c r="D829" s="1" t="s">
        <v>1223</v>
      </c>
      <c r="E829" s="1" t="s">
        <v>43</v>
      </c>
      <c r="F829" s="1" t="s">
        <v>25</v>
      </c>
      <c r="G829" s="1" t="s">
        <v>18</v>
      </c>
      <c r="H829" s="1" t="s">
        <v>145</v>
      </c>
      <c r="I829">
        <v>10</v>
      </c>
      <c r="J829">
        <v>9274.57</v>
      </c>
      <c r="K829">
        <v>0.1</v>
      </c>
      <c r="L829">
        <v>2857.83</v>
      </c>
      <c r="M829" s="1" t="s">
        <v>50</v>
      </c>
    </row>
    <row r="830" spans="1:13" x14ac:dyDescent="0.3">
      <c r="A830" s="1" t="s">
        <v>1574</v>
      </c>
      <c r="B830" s="2">
        <v>45665</v>
      </c>
      <c r="C830" s="1" t="s">
        <v>366</v>
      </c>
      <c r="D830" s="1" t="s">
        <v>367</v>
      </c>
      <c r="E830" s="1" t="s">
        <v>24</v>
      </c>
      <c r="F830" s="1" t="s">
        <v>69</v>
      </c>
      <c r="G830" s="1" t="s">
        <v>44</v>
      </c>
      <c r="H830" s="1" t="s">
        <v>45</v>
      </c>
      <c r="I830">
        <v>10</v>
      </c>
      <c r="J830">
        <v>78869.070000000007</v>
      </c>
      <c r="K830">
        <v>0.05</v>
      </c>
      <c r="L830">
        <v>17253.11</v>
      </c>
      <c r="M830" s="1" t="s">
        <v>55</v>
      </c>
    </row>
    <row r="831" spans="1:13" x14ac:dyDescent="0.3">
      <c r="A831" s="1" t="s">
        <v>1575</v>
      </c>
      <c r="B831" s="2">
        <v>46017</v>
      </c>
      <c r="C831" s="1" t="s">
        <v>1261</v>
      </c>
      <c r="D831" s="1" t="s">
        <v>1262</v>
      </c>
      <c r="E831" s="1" t="s">
        <v>37</v>
      </c>
      <c r="F831" s="1" t="s">
        <v>25</v>
      </c>
      <c r="G831" s="1" t="s">
        <v>26</v>
      </c>
      <c r="H831" s="1" t="s">
        <v>86</v>
      </c>
      <c r="I831">
        <v>8</v>
      </c>
      <c r="J831">
        <v>21843.18</v>
      </c>
      <c r="K831">
        <v>0.1</v>
      </c>
      <c r="L831">
        <v>6122.74</v>
      </c>
      <c r="M831" s="1" t="s">
        <v>55</v>
      </c>
    </row>
    <row r="832" spans="1:13" x14ac:dyDescent="0.3">
      <c r="A832" s="1" t="s">
        <v>1576</v>
      </c>
      <c r="B832" s="2">
        <v>45841</v>
      </c>
      <c r="C832" s="1" t="s">
        <v>613</v>
      </c>
      <c r="D832" s="1" t="s">
        <v>614</v>
      </c>
      <c r="E832" s="1" t="s">
        <v>74</v>
      </c>
      <c r="F832" s="1" t="s">
        <v>17</v>
      </c>
      <c r="G832" s="1" t="s">
        <v>18</v>
      </c>
      <c r="H832" s="1" t="s">
        <v>122</v>
      </c>
      <c r="I832">
        <v>1</v>
      </c>
      <c r="J832">
        <v>1560.38</v>
      </c>
      <c r="K832">
        <v>0.1</v>
      </c>
      <c r="L832">
        <v>464.92</v>
      </c>
      <c r="M832" s="1" t="s">
        <v>28</v>
      </c>
    </row>
    <row r="833" spans="1:13" x14ac:dyDescent="0.3">
      <c r="A833" s="1" t="s">
        <v>1577</v>
      </c>
      <c r="B833" s="2">
        <v>45938</v>
      </c>
      <c r="C833" s="1" t="s">
        <v>580</v>
      </c>
      <c r="D833" s="1" t="s">
        <v>581</v>
      </c>
      <c r="E833" s="1" t="s">
        <v>16</v>
      </c>
      <c r="F833" s="1" t="s">
        <v>69</v>
      </c>
      <c r="G833" s="1" t="s">
        <v>44</v>
      </c>
      <c r="H833" s="1" t="s">
        <v>70</v>
      </c>
      <c r="I833">
        <v>9</v>
      </c>
      <c r="J833">
        <v>82500.39</v>
      </c>
      <c r="K833">
        <v>0.2</v>
      </c>
      <c r="L833">
        <v>14728.64</v>
      </c>
      <c r="M833" s="1" t="s">
        <v>55</v>
      </c>
    </row>
    <row r="834" spans="1:13" x14ac:dyDescent="0.3">
      <c r="A834" s="1" t="s">
        <v>1578</v>
      </c>
      <c r="B834" s="2">
        <v>45852</v>
      </c>
      <c r="C834" s="1" t="s">
        <v>163</v>
      </c>
      <c r="D834" s="1" t="s">
        <v>164</v>
      </c>
      <c r="E834" s="1" t="s">
        <v>24</v>
      </c>
      <c r="F834" s="1" t="s">
        <v>25</v>
      </c>
      <c r="G834" s="1" t="s">
        <v>26</v>
      </c>
      <c r="H834" s="1" t="s">
        <v>244</v>
      </c>
      <c r="I834">
        <v>9</v>
      </c>
      <c r="J834">
        <v>25657.23</v>
      </c>
      <c r="K834">
        <v>0.05</v>
      </c>
      <c r="L834">
        <v>5820.55</v>
      </c>
      <c r="M834" s="1" t="s">
        <v>20</v>
      </c>
    </row>
    <row r="835" spans="1:13" x14ac:dyDescent="0.3">
      <c r="A835" s="1" t="s">
        <v>1579</v>
      </c>
      <c r="B835" s="2">
        <v>46009</v>
      </c>
      <c r="C835" s="1" t="s">
        <v>434</v>
      </c>
      <c r="D835" s="1" t="s">
        <v>435</v>
      </c>
      <c r="E835" s="1" t="s">
        <v>74</v>
      </c>
      <c r="F835" s="1" t="s">
        <v>25</v>
      </c>
      <c r="G835" s="1" t="s">
        <v>32</v>
      </c>
      <c r="H835" s="1" t="s">
        <v>54</v>
      </c>
      <c r="I835">
        <v>9</v>
      </c>
      <c r="J835">
        <v>73201.7</v>
      </c>
      <c r="K835">
        <v>0.05</v>
      </c>
      <c r="L835">
        <v>18069.259999999998</v>
      </c>
      <c r="M835" s="1" t="s">
        <v>20</v>
      </c>
    </row>
    <row r="836" spans="1:13" x14ac:dyDescent="0.3">
      <c r="A836" s="1" t="s">
        <v>1580</v>
      </c>
      <c r="B836" s="2">
        <v>45852</v>
      </c>
      <c r="C836" s="1" t="s">
        <v>386</v>
      </c>
      <c r="D836" s="1" t="s">
        <v>387</v>
      </c>
      <c r="E836" s="1" t="s">
        <v>43</v>
      </c>
      <c r="F836" s="1" t="s">
        <v>25</v>
      </c>
      <c r="G836" s="1" t="s">
        <v>32</v>
      </c>
      <c r="H836" s="1" t="s">
        <v>33</v>
      </c>
      <c r="I836">
        <v>9</v>
      </c>
      <c r="J836">
        <v>152811.32</v>
      </c>
      <c r="K836">
        <v>0.1</v>
      </c>
      <c r="L836">
        <v>30710.21</v>
      </c>
      <c r="M836" s="1" t="s">
        <v>28</v>
      </c>
    </row>
    <row r="837" spans="1:13" x14ac:dyDescent="0.3">
      <c r="A837" s="1" t="s">
        <v>1581</v>
      </c>
      <c r="B837" s="2">
        <v>45812</v>
      </c>
      <c r="C837" s="1" t="s">
        <v>160</v>
      </c>
      <c r="D837" s="1" t="s">
        <v>161</v>
      </c>
      <c r="E837" s="1" t="s">
        <v>74</v>
      </c>
      <c r="F837" s="1" t="s">
        <v>25</v>
      </c>
      <c r="G837" s="1" t="s">
        <v>44</v>
      </c>
      <c r="H837" s="1" t="s">
        <v>45</v>
      </c>
      <c r="I837">
        <v>1</v>
      </c>
      <c r="J837">
        <v>7675.93</v>
      </c>
      <c r="K837">
        <v>0.1</v>
      </c>
      <c r="L837">
        <v>1500.94</v>
      </c>
      <c r="M837" s="1" t="s">
        <v>55</v>
      </c>
    </row>
    <row r="838" spans="1:13" x14ac:dyDescent="0.3">
      <c r="A838" s="1" t="s">
        <v>1582</v>
      </c>
      <c r="B838" s="2">
        <v>45750</v>
      </c>
      <c r="C838" s="1" t="s">
        <v>491</v>
      </c>
      <c r="D838" s="1" t="s">
        <v>492</v>
      </c>
      <c r="E838" s="1" t="s">
        <v>37</v>
      </c>
      <c r="F838" s="1" t="s">
        <v>25</v>
      </c>
      <c r="G838" s="1" t="s">
        <v>44</v>
      </c>
      <c r="H838" s="1" t="s">
        <v>155</v>
      </c>
      <c r="I838">
        <v>9</v>
      </c>
      <c r="J838">
        <v>84314.65</v>
      </c>
      <c r="K838">
        <v>0.05</v>
      </c>
      <c r="L838">
        <v>14077.54</v>
      </c>
      <c r="M838" s="1" t="s">
        <v>55</v>
      </c>
    </row>
    <row r="839" spans="1:13" x14ac:dyDescent="0.3">
      <c r="A839" s="1" t="s">
        <v>1583</v>
      </c>
      <c r="B839" s="2">
        <v>45817</v>
      </c>
      <c r="C839" s="1" t="s">
        <v>980</v>
      </c>
      <c r="D839" s="1" t="s">
        <v>981</v>
      </c>
      <c r="E839" s="1" t="s">
        <v>16</v>
      </c>
      <c r="F839" s="1" t="s">
        <v>17</v>
      </c>
      <c r="G839" s="1" t="s">
        <v>18</v>
      </c>
      <c r="H839" s="1" t="s">
        <v>97</v>
      </c>
      <c r="I839">
        <v>10</v>
      </c>
      <c r="J839">
        <v>11658.73</v>
      </c>
      <c r="K839">
        <v>0</v>
      </c>
      <c r="L839">
        <v>2869.33</v>
      </c>
      <c r="M839" s="1" t="s">
        <v>39</v>
      </c>
    </row>
    <row r="840" spans="1:13" x14ac:dyDescent="0.3">
      <c r="A840" s="1" t="s">
        <v>1584</v>
      </c>
      <c r="B840" s="2">
        <v>45718</v>
      </c>
      <c r="C840" s="1" t="s">
        <v>1509</v>
      </c>
      <c r="D840" s="1" t="s">
        <v>1510</v>
      </c>
      <c r="E840" s="1" t="s">
        <v>16</v>
      </c>
      <c r="F840" s="1" t="s">
        <v>69</v>
      </c>
      <c r="G840" s="1" t="s">
        <v>32</v>
      </c>
      <c r="H840" s="1" t="s">
        <v>33</v>
      </c>
      <c r="I840">
        <v>2</v>
      </c>
      <c r="J840">
        <v>34014.019999999997</v>
      </c>
      <c r="K840">
        <v>0.1</v>
      </c>
      <c r="L840">
        <v>6665.42</v>
      </c>
      <c r="M840" s="1" t="s">
        <v>55</v>
      </c>
    </row>
    <row r="841" spans="1:13" x14ac:dyDescent="0.3">
      <c r="A841" s="1" t="s">
        <v>1585</v>
      </c>
      <c r="B841" s="2">
        <v>45779</v>
      </c>
      <c r="C841" s="1" t="s">
        <v>312</v>
      </c>
      <c r="D841" s="1" t="s">
        <v>313</v>
      </c>
      <c r="E841" s="1" t="s">
        <v>74</v>
      </c>
      <c r="F841" s="1" t="s">
        <v>17</v>
      </c>
      <c r="G841" s="1" t="s">
        <v>18</v>
      </c>
      <c r="H841" s="1" t="s">
        <v>97</v>
      </c>
      <c r="I841">
        <v>3</v>
      </c>
      <c r="J841">
        <v>5870.78</v>
      </c>
      <c r="K841">
        <v>0.2</v>
      </c>
      <c r="L841">
        <v>1618.59</v>
      </c>
      <c r="M841" s="1" t="s">
        <v>50</v>
      </c>
    </row>
    <row r="842" spans="1:13" x14ac:dyDescent="0.3">
      <c r="A842" s="1" t="s">
        <v>1586</v>
      </c>
      <c r="B842" s="2">
        <v>45708</v>
      </c>
      <c r="C842" s="1" t="s">
        <v>1047</v>
      </c>
      <c r="D842" s="1" t="s">
        <v>1048</v>
      </c>
      <c r="E842" s="1" t="s">
        <v>74</v>
      </c>
      <c r="F842" s="1" t="s">
        <v>25</v>
      </c>
      <c r="G842" s="1" t="s">
        <v>44</v>
      </c>
      <c r="H842" s="1" t="s">
        <v>70</v>
      </c>
      <c r="I842">
        <v>4</v>
      </c>
      <c r="J842">
        <v>27874.19</v>
      </c>
      <c r="K842">
        <v>0.1</v>
      </c>
      <c r="L842">
        <v>4875.6099999999997</v>
      </c>
      <c r="M842" s="1" t="s">
        <v>55</v>
      </c>
    </row>
    <row r="843" spans="1:13" x14ac:dyDescent="0.3">
      <c r="A843" s="1" t="s">
        <v>1587</v>
      </c>
      <c r="B843" s="2">
        <v>45934</v>
      </c>
      <c r="C843" s="1" t="s">
        <v>147</v>
      </c>
      <c r="D843" s="1" t="s">
        <v>148</v>
      </c>
      <c r="E843" s="1" t="s">
        <v>37</v>
      </c>
      <c r="F843" s="1" t="s">
        <v>25</v>
      </c>
      <c r="G843" s="1" t="s">
        <v>32</v>
      </c>
      <c r="H843" s="1" t="s">
        <v>38</v>
      </c>
      <c r="I843">
        <v>3</v>
      </c>
      <c r="J843">
        <v>57105.52</v>
      </c>
      <c r="K843">
        <v>0.1</v>
      </c>
      <c r="L843">
        <v>10348.08</v>
      </c>
      <c r="M843" s="1" t="s">
        <v>55</v>
      </c>
    </row>
    <row r="844" spans="1:13" x14ac:dyDescent="0.3">
      <c r="A844" s="1" t="s">
        <v>1588</v>
      </c>
      <c r="B844" s="2">
        <v>45662</v>
      </c>
      <c r="C844" s="1" t="s">
        <v>1555</v>
      </c>
      <c r="D844" s="1" t="s">
        <v>1556</v>
      </c>
      <c r="E844" s="1" t="s">
        <v>43</v>
      </c>
      <c r="F844" s="1" t="s">
        <v>25</v>
      </c>
      <c r="G844" s="1" t="s">
        <v>18</v>
      </c>
      <c r="H844" s="1" t="s">
        <v>122</v>
      </c>
      <c r="I844">
        <v>2</v>
      </c>
      <c r="J844">
        <v>3187.26</v>
      </c>
      <c r="K844">
        <v>0.1</v>
      </c>
      <c r="L844">
        <v>744.42</v>
      </c>
      <c r="M844" s="1" t="s">
        <v>55</v>
      </c>
    </row>
    <row r="845" spans="1:13" x14ac:dyDescent="0.3">
      <c r="A845" s="1" t="s">
        <v>1589</v>
      </c>
      <c r="B845" s="2">
        <v>45749</v>
      </c>
      <c r="C845" s="1" t="s">
        <v>124</v>
      </c>
      <c r="D845" s="1" t="s">
        <v>125</v>
      </c>
      <c r="E845" s="1" t="s">
        <v>43</v>
      </c>
      <c r="F845" s="1" t="s">
        <v>25</v>
      </c>
      <c r="G845" s="1" t="s">
        <v>18</v>
      </c>
      <c r="H845" s="1" t="s">
        <v>97</v>
      </c>
      <c r="I845">
        <v>3</v>
      </c>
      <c r="J845">
        <v>7680.49</v>
      </c>
      <c r="K845">
        <v>0.05</v>
      </c>
      <c r="L845">
        <v>2148.73</v>
      </c>
      <c r="M845" s="1" t="s">
        <v>28</v>
      </c>
    </row>
    <row r="846" spans="1:13" x14ac:dyDescent="0.3">
      <c r="A846" s="1" t="s">
        <v>1590</v>
      </c>
      <c r="B846" s="2">
        <v>45827</v>
      </c>
      <c r="C846" s="1" t="s">
        <v>671</v>
      </c>
      <c r="D846" s="1" t="s">
        <v>672</v>
      </c>
      <c r="E846" s="1" t="s">
        <v>16</v>
      </c>
      <c r="F846" s="1" t="s">
        <v>69</v>
      </c>
      <c r="G846" s="1" t="s">
        <v>32</v>
      </c>
      <c r="H846" s="1" t="s">
        <v>79</v>
      </c>
      <c r="I846">
        <v>3</v>
      </c>
      <c r="J846">
        <v>29141.05</v>
      </c>
      <c r="K846">
        <v>0</v>
      </c>
      <c r="L846">
        <v>7309.03</v>
      </c>
      <c r="M846" s="1" t="s">
        <v>28</v>
      </c>
    </row>
    <row r="847" spans="1:13" x14ac:dyDescent="0.3">
      <c r="A847" s="1" t="s">
        <v>1591</v>
      </c>
      <c r="B847" s="2">
        <v>45974</v>
      </c>
      <c r="C847" s="1" t="s">
        <v>1592</v>
      </c>
      <c r="D847" s="1" t="s">
        <v>1593</v>
      </c>
      <c r="E847" s="1" t="s">
        <v>74</v>
      </c>
      <c r="F847" s="1" t="s">
        <v>25</v>
      </c>
      <c r="G847" s="1" t="s">
        <v>44</v>
      </c>
      <c r="H847" s="1" t="s">
        <v>155</v>
      </c>
      <c r="I847">
        <v>7</v>
      </c>
      <c r="J847">
        <v>44172.81</v>
      </c>
      <c r="K847">
        <v>0.1</v>
      </c>
      <c r="L847">
        <v>8650.2900000000009</v>
      </c>
      <c r="M847" s="1" t="s">
        <v>28</v>
      </c>
    </row>
    <row r="848" spans="1:13" x14ac:dyDescent="0.3">
      <c r="A848" s="1" t="s">
        <v>1594</v>
      </c>
      <c r="B848" s="2">
        <v>45679</v>
      </c>
      <c r="C848" s="1" t="s">
        <v>1036</v>
      </c>
      <c r="D848" s="1" t="s">
        <v>1037</v>
      </c>
      <c r="E848" s="1" t="s">
        <v>37</v>
      </c>
      <c r="F848" s="1" t="s">
        <v>69</v>
      </c>
      <c r="G848" s="1" t="s">
        <v>32</v>
      </c>
      <c r="H848" s="1" t="s">
        <v>79</v>
      </c>
      <c r="I848">
        <v>7</v>
      </c>
      <c r="J848">
        <v>100501.32</v>
      </c>
      <c r="K848">
        <v>0.1</v>
      </c>
      <c r="L848">
        <v>22847.99</v>
      </c>
      <c r="M848" s="1" t="s">
        <v>39</v>
      </c>
    </row>
    <row r="849" spans="1:13" x14ac:dyDescent="0.3">
      <c r="A849" s="1" t="s">
        <v>1595</v>
      </c>
      <c r="B849" s="2">
        <v>45983</v>
      </c>
      <c r="C849" s="1" t="s">
        <v>823</v>
      </c>
      <c r="D849" s="1" t="s">
        <v>824</v>
      </c>
      <c r="E849" s="1" t="s">
        <v>74</v>
      </c>
      <c r="F849" s="1" t="s">
        <v>69</v>
      </c>
      <c r="G849" s="1" t="s">
        <v>26</v>
      </c>
      <c r="H849" s="1" t="s">
        <v>49</v>
      </c>
      <c r="I849">
        <v>6</v>
      </c>
      <c r="J849">
        <v>10082.44</v>
      </c>
      <c r="K849">
        <v>0.15</v>
      </c>
      <c r="L849">
        <v>2829.1</v>
      </c>
      <c r="M849" s="1" t="s">
        <v>28</v>
      </c>
    </row>
    <row r="850" spans="1:13" x14ac:dyDescent="0.3">
      <c r="A850" s="1" t="s">
        <v>1596</v>
      </c>
      <c r="B850" s="2">
        <v>45658</v>
      </c>
      <c r="C850" s="1" t="s">
        <v>1597</v>
      </c>
      <c r="D850" s="1" t="s">
        <v>1598</v>
      </c>
      <c r="E850" s="1" t="s">
        <v>24</v>
      </c>
      <c r="F850" s="1" t="s">
        <v>17</v>
      </c>
      <c r="G850" s="1" t="s">
        <v>44</v>
      </c>
      <c r="H850" s="1" t="s">
        <v>45</v>
      </c>
      <c r="I850">
        <v>5</v>
      </c>
      <c r="J850">
        <v>55125.31</v>
      </c>
      <c r="K850">
        <v>0.2</v>
      </c>
      <c r="L850">
        <v>10929.85</v>
      </c>
      <c r="M850" s="1" t="s">
        <v>50</v>
      </c>
    </row>
    <row r="851" spans="1:13" x14ac:dyDescent="0.3">
      <c r="A851" s="1" t="s">
        <v>1599</v>
      </c>
      <c r="B851" s="2">
        <v>45790</v>
      </c>
      <c r="C851" s="1" t="s">
        <v>420</v>
      </c>
      <c r="D851" s="1" t="s">
        <v>421</v>
      </c>
      <c r="E851" s="1" t="s">
        <v>24</v>
      </c>
      <c r="F851" s="1" t="s">
        <v>69</v>
      </c>
      <c r="G851" s="1" t="s">
        <v>44</v>
      </c>
      <c r="H851" s="1" t="s">
        <v>75</v>
      </c>
      <c r="I851">
        <v>1</v>
      </c>
      <c r="J851">
        <v>6538.57</v>
      </c>
      <c r="K851">
        <v>0.1</v>
      </c>
      <c r="L851">
        <v>1035.78</v>
      </c>
      <c r="M851" s="1" t="s">
        <v>28</v>
      </c>
    </row>
    <row r="852" spans="1:13" x14ac:dyDescent="0.3">
      <c r="A852" s="1" t="s">
        <v>1600</v>
      </c>
      <c r="B852" s="2">
        <v>45890</v>
      </c>
      <c r="C852" s="1" t="s">
        <v>491</v>
      </c>
      <c r="D852" s="1" t="s">
        <v>492</v>
      </c>
      <c r="E852" s="1" t="s">
        <v>16</v>
      </c>
      <c r="F852" s="1" t="s">
        <v>25</v>
      </c>
      <c r="G852" s="1" t="s">
        <v>44</v>
      </c>
      <c r="H852" s="1" t="s">
        <v>75</v>
      </c>
      <c r="I852">
        <v>2</v>
      </c>
      <c r="J852">
        <v>11969.67</v>
      </c>
      <c r="K852">
        <v>0</v>
      </c>
      <c r="L852">
        <v>2263.17</v>
      </c>
      <c r="M852" s="1" t="s">
        <v>50</v>
      </c>
    </row>
    <row r="853" spans="1:13" x14ac:dyDescent="0.3">
      <c r="A853" s="1" t="s">
        <v>1601</v>
      </c>
      <c r="B853" s="2">
        <v>45669</v>
      </c>
      <c r="C853" s="1" t="s">
        <v>1493</v>
      </c>
      <c r="D853" s="1" t="s">
        <v>1494</v>
      </c>
      <c r="E853" s="1" t="s">
        <v>24</v>
      </c>
      <c r="F853" s="1" t="s">
        <v>25</v>
      </c>
      <c r="G853" s="1" t="s">
        <v>18</v>
      </c>
      <c r="H853" s="1" t="s">
        <v>97</v>
      </c>
      <c r="I853">
        <v>4</v>
      </c>
      <c r="J853">
        <v>8493.09</v>
      </c>
      <c r="K853">
        <v>0.1</v>
      </c>
      <c r="L853">
        <v>2744.6</v>
      </c>
      <c r="M853" s="1" t="s">
        <v>50</v>
      </c>
    </row>
    <row r="854" spans="1:13" x14ac:dyDescent="0.3">
      <c r="A854" s="1" t="s">
        <v>1602</v>
      </c>
      <c r="B854" s="2">
        <v>46003</v>
      </c>
      <c r="C854" s="1" t="s">
        <v>1603</v>
      </c>
      <c r="D854" s="1" t="s">
        <v>1604</v>
      </c>
      <c r="E854" s="1" t="s">
        <v>43</v>
      </c>
      <c r="F854" s="1" t="s">
        <v>69</v>
      </c>
      <c r="G854" s="1" t="s">
        <v>44</v>
      </c>
      <c r="H854" s="1" t="s">
        <v>90</v>
      </c>
      <c r="I854">
        <v>3</v>
      </c>
      <c r="J854">
        <v>20019.689999999999</v>
      </c>
      <c r="K854">
        <v>0.1</v>
      </c>
      <c r="L854">
        <v>3022.76</v>
      </c>
      <c r="M854" s="1" t="s">
        <v>55</v>
      </c>
    </row>
    <row r="855" spans="1:13" x14ac:dyDescent="0.3">
      <c r="A855" s="1" t="s">
        <v>1605</v>
      </c>
      <c r="B855" s="2">
        <v>45703</v>
      </c>
      <c r="C855" s="1" t="s">
        <v>255</v>
      </c>
      <c r="D855" s="1" t="s">
        <v>256</v>
      </c>
      <c r="E855" s="1" t="s">
        <v>24</v>
      </c>
      <c r="F855" s="1" t="s">
        <v>25</v>
      </c>
      <c r="G855" s="1" t="s">
        <v>32</v>
      </c>
      <c r="H855" s="1" t="s">
        <v>59</v>
      </c>
      <c r="I855">
        <v>4</v>
      </c>
      <c r="J855">
        <v>32004.79</v>
      </c>
      <c r="K855">
        <v>0.2</v>
      </c>
      <c r="L855">
        <v>7975.47</v>
      </c>
      <c r="M855" s="1" t="s">
        <v>28</v>
      </c>
    </row>
    <row r="856" spans="1:13" x14ac:dyDescent="0.3">
      <c r="A856" s="1" t="s">
        <v>1606</v>
      </c>
      <c r="B856" s="2">
        <v>45691</v>
      </c>
      <c r="C856" s="1" t="s">
        <v>621</v>
      </c>
      <c r="D856" s="1" t="s">
        <v>622</v>
      </c>
      <c r="E856" s="1" t="s">
        <v>37</v>
      </c>
      <c r="F856" s="1" t="s">
        <v>25</v>
      </c>
      <c r="G856" s="1" t="s">
        <v>18</v>
      </c>
      <c r="H856" s="1" t="s">
        <v>141</v>
      </c>
      <c r="I856">
        <v>6</v>
      </c>
      <c r="J856">
        <v>5706.15</v>
      </c>
      <c r="K856">
        <v>0.1</v>
      </c>
      <c r="L856">
        <v>1714.58</v>
      </c>
      <c r="M856" s="1" t="s">
        <v>55</v>
      </c>
    </row>
    <row r="857" spans="1:13" x14ac:dyDescent="0.3">
      <c r="A857" s="1" t="s">
        <v>1607</v>
      </c>
      <c r="B857" s="2">
        <v>45735</v>
      </c>
      <c r="C857" s="1" t="s">
        <v>133</v>
      </c>
      <c r="D857" s="1" t="s">
        <v>134</v>
      </c>
      <c r="E857" s="1" t="s">
        <v>16</v>
      </c>
      <c r="F857" s="1" t="s">
        <v>69</v>
      </c>
      <c r="G857" s="1" t="s">
        <v>32</v>
      </c>
      <c r="H857" s="1" t="s">
        <v>38</v>
      </c>
      <c r="I857">
        <v>10</v>
      </c>
      <c r="J857">
        <v>89907.93</v>
      </c>
      <c r="K857">
        <v>0.1</v>
      </c>
      <c r="L857">
        <v>19350.66</v>
      </c>
      <c r="M857" s="1" t="s">
        <v>28</v>
      </c>
    </row>
    <row r="858" spans="1:13" x14ac:dyDescent="0.3">
      <c r="A858" s="1" t="s">
        <v>1608</v>
      </c>
      <c r="B858" s="2">
        <v>45875</v>
      </c>
      <c r="C858" s="1" t="s">
        <v>1597</v>
      </c>
      <c r="D858" s="1" t="s">
        <v>1598</v>
      </c>
      <c r="E858" s="1" t="s">
        <v>74</v>
      </c>
      <c r="F858" s="1" t="s">
        <v>69</v>
      </c>
      <c r="G858" s="1" t="s">
        <v>32</v>
      </c>
      <c r="H858" s="1" t="s">
        <v>59</v>
      </c>
      <c r="I858">
        <v>1</v>
      </c>
      <c r="J858">
        <v>12604.75</v>
      </c>
      <c r="K858">
        <v>0.15</v>
      </c>
      <c r="L858">
        <v>2592.02</v>
      </c>
      <c r="M858" s="1" t="s">
        <v>55</v>
      </c>
    </row>
    <row r="859" spans="1:13" x14ac:dyDescent="0.3">
      <c r="A859" s="1" t="s">
        <v>1609</v>
      </c>
      <c r="B859" s="2">
        <v>45958</v>
      </c>
      <c r="C859" s="1" t="s">
        <v>901</v>
      </c>
      <c r="D859" s="1" t="s">
        <v>902</v>
      </c>
      <c r="E859" s="1" t="s">
        <v>43</v>
      </c>
      <c r="F859" s="1" t="s">
        <v>25</v>
      </c>
      <c r="G859" s="1" t="s">
        <v>32</v>
      </c>
      <c r="H859" s="1" t="s">
        <v>38</v>
      </c>
      <c r="I859">
        <v>3</v>
      </c>
      <c r="J859">
        <v>39413.089999999997</v>
      </c>
      <c r="K859">
        <v>0.1</v>
      </c>
      <c r="L859">
        <v>7279.24</v>
      </c>
      <c r="M859" s="1" t="s">
        <v>50</v>
      </c>
    </row>
    <row r="860" spans="1:13" x14ac:dyDescent="0.3">
      <c r="A860" s="1" t="s">
        <v>1610</v>
      </c>
      <c r="B860" s="2">
        <v>45730</v>
      </c>
      <c r="C860" s="1" t="s">
        <v>153</v>
      </c>
      <c r="D860" s="1" t="s">
        <v>154</v>
      </c>
      <c r="E860" s="1" t="s">
        <v>43</v>
      </c>
      <c r="F860" s="1" t="s">
        <v>69</v>
      </c>
      <c r="G860" s="1" t="s">
        <v>44</v>
      </c>
      <c r="H860" s="1" t="s">
        <v>75</v>
      </c>
      <c r="I860">
        <v>7</v>
      </c>
      <c r="J860">
        <v>50643.839999999997</v>
      </c>
      <c r="K860">
        <v>0.2</v>
      </c>
      <c r="L860">
        <v>8337.32</v>
      </c>
      <c r="M860" s="1" t="s">
        <v>50</v>
      </c>
    </row>
    <row r="861" spans="1:13" x14ac:dyDescent="0.3">
      <c r="A861" s="1" t="s">
        <v>1611</v>
      </c>
      <c r="B861" s="2">
        <v>45939</v>
      </c>
      <c r="C861" s="1" t="s">
        <v>1612</v>
      </c>
      <c r="D861" s="1" t="s">
        <v>1613</v>
      </c>
      <c r="E861" s="1" t="s">
        <v>37</v>
      </c>
      <c r="F861" s="1" t="s">
        <v>25</v>
      </c>
      <c r="G861" s="1" t="s">
        <v>44</v>
      </c>
      <c r="H861" s="1" t="s">
        <v>45</v>
      </c>
      <c r="I861">
        <v>7</v>
      </c>
      <c r="J861">
        <v>31614.45</v>
      </c>
      <c r="K861">
        <v>0.25</v>
      </c>
      <c r="L861">
        <v>4511.96</v>
      </c>
      <c r="M861" s="1" t="s">
        <v>28</v>
      </c>
    </row>
    <row r="862" spans="1:13" x14ac:dyDescent="0.3">
      <c r="A862" s="1" t="s">
        <v>1614</v>
      </c>
      <c r="B862" s="2">
        <v>45906</v>
      </c>
      <c r="C862" s="1" t="s">
        <v>67</v>
      </c>
      <c r="D862" s="1" t="s">
        <v>68</v>
      </c>
      <c r="E862" s="1" t="s">
        <v>74</v>
      </c>
      <c r="F862" s="1" t="s">
        <v>69</v>
      </c>
      <c r="G862" s="1" t="s">
        <v>26</v>
      </c>
      <c r="H862" s="1" t="s">
        <v>27</v>
      </c>
      <c r="I862">
        <v>6</v>
      </c>
      <c r="J862">
        <v>22716.31</v>
      </c>
      <c r="K862">
        <v>0.15</v>
      </c>
      <c r="L862">
        <v>4683.1000000000004</v>
      </c>
      <c r="M862" s="1" t="s">
        <v>50</v>
      </c>
    </row>
    <row r="863" spans="1:13" x14ac:dyDescent="0.3">
      <c r="A863" s="1" t="s">
        <v>1615</v>
      </c>
      <c r="B863" s="2">
        <v>45704</v>
      </c>
      <c r="C863" s="1" t="s">
        <v>1258</v>
      </c>
      <c r="D863" s="1" t="s">
        <v>1259</v>
      </c>
      <c r="E863" s="1" t="s">
        <v>74</v>
      </c>
      <c r="F863" s="1" t="s">
        <v>69</v>
      </c>
      <c r="G863" s="1" t="s">
        <v>32</v>
      </c>
      <c r="H863" s="1" t="s">
        <v>79</v>
      </c>
      <c r="I863">
        <v>5</v>
      </c>
      <c r="J863">
        <v>80222.240000000005</v>
      </c>
      <c r="K863">
        <v>0.15</v>
      </c>
      <c r="L863">
        <v>16464.03</v>
      </c>
      <c r="M863" s="1" t="s">
        <v>28</v>
      </c>
    </row>
    <row r="864" spans="1:13" x14ac:dyDescent="0.3">
      <c r="A864" s="1" t="s">
        <v>1616</v>
      </c>
      <c r="B864" s="2">
        <v>45778</v>
      </c>
      <c r="C864" s="1" t="s">
        <v>911</v>
      </c>
      <c r="D864" s="1" t="s">
        <v>912</v>
      </c>
      <c r="E864" s="1" t="s">
        <v>16</v>
      </c>
      <c r="F864" s="1" t="s">
        <v>25</v>
      </c>
      <c r="G864" s="1" t="s">
        <v>18</v>
      </c>
      <c r="H864" s="1" t="s">
        <v>145</v>
      </c>
      <c r="I864">
        <v>2</v>
      </c>
      <c r="J864">
        <v>2382.73</v>
      </c>
      <c r="K864">
        <v>0.1</v>
      </c>
      <c r="L864">
        <v>784.45</v>
      </c>
      <c r="M864" s="1" t="s">
        <v>50</v>
      </c>
    </row>
    <row r="865" spans="1:13" x14ac:dyDescent="0.3">
      <c r="A865" s="1" t="s">
        <v>1617</v>
      </c>
      <c r="B865" s="2">
        <v>45871</v>
      </c>
      <c r="C865" s="1" t="s">
        <v>1036</v>
      </c>
      <c r="D865" s="1" t="s">
        <v>1037</v>
      </c>
      <c r="E865" s="1" t="s">
        <v>24</v>
      </c>
      <c r="F865" s="1" t="s">
        <v>25</v>
      </c>
      <c r="G865" s="1" t="s">
        <v>32</v>
      </c>
      <c r="H865" s="1" t="s">
        <v>33</v>
      </c>
      <c r="I865">
        <v>9</v>
      </c>
      <c r="J865">
        <v>166728.89000000001</v>
      </c>
      <c r="K865">
        <v>0.1</v>
      </c>
      <c r="L865">
        <v>44926.080000000002</v>
      </c>
      <c r="M865" s="1" t="s">
        <v>55</v>
      </c>
    </row>
    <row r="866" spans="1:13" x14ac:dyDescent="0.3">
      <c r="A866" s="1" t="s">
        <v>1618</v>
      </c>
      <c r="B866" s="2">
        <v>45896</v>
      </c>
      <c r="C866" s="1" t="s">
        <v>571</v>
      </c>
      <c r="D866" s="1" t="s">
        <v>572</v>
      </c>
      <c r="E866" s="1" t="s">
        <v>43</v>
      </c>
      <c r="F866" s="1" t="s">
        <v>25</v>
      </c>
      <c r="G866" s="1" t="s">
        <v>44</v>
      </c>
      <c r="H866" s="1" t="s">
        <v>90</v>
      </c>
      <c r="I866">
        <v>10</v>
      </c>
      <c r="J866">
        <v>113938.96</v>
      </c>
      <c r="K866">
        <v>0.15</v>
      </c>
      <c r="L866">
        <v>14957.41</v>
      </c>
      <c r="M866" s="1" t="s">
        <v>50</v>
      </c>
    </row>
    <row r="867" spans="1:13" x14ac:dyDescent="0.3">
      <c r="A867" s="1" t="s">
        <v>1619</v>
      </c>
      <c r="B867" s="2">
        <v>45713</v>
      </c>
      <c r="C867" s="1" t="s">
        <v>1592</v>
      </c>
      <c r="D867" s="1" t="s">
        <v>1593</v>
      </c>
      <c r="E867" s="1" t="s">
        <v>43</v>
      </c>
      <c r="F867" s="1" t="s">
        <v>69</v>
      </c>
      <c r="G867" s="1" t="s">
        <v>18</v>
      </c>
      <c r="H867" s="1" t="s">
        <v>19</v>
      </c>
      <c r="I867">
        <v>3</v>
      </c>
      <c r="J867">
        <v>6496.4</v>
      </c>
      <c r="K867">
        <v>0.05</v>
      </c>
      <c r="L867">
        <v>1558.12</v>
      </c>
      <c r="M867" s="1" t="s">
        <v>39</v>
      </c>
    </row>
    <row r="868" spans="1:13" x14ac:dyDescent="0.3">
      <c r="A868" s="1" t="s">
        <v>1620</v>
      </c>
      <c r="B868" s="2">
        <v>46007</v>
      </c>
      <c r="C868" s="1" t="s">
        <v>1621</v>
      </c>
      <c r="D868" s="1" t="s">
        <v>1622</v>
      </c>
      <c r="E868" s="1" t="s">
        <v>74</v>
      </c>
      <c r="F868" s="1" t="s">
        <v>69</v>
      </c>
      <c r="G868" s="1" t="s">
        <v>18</v>
      </c>
      <c r="H868" s="1" t="s">
        <v>19</v>
      </c>
      <c r="I868">
        <v>1</v>
      </c>
      <c r="J868">
        <v>2135.84</v>
      </c>
      <c r="K868">
        <v>0.2</v>
      </c>
      <c r="L868">
        <v>686.49</v>
      </c>
      <c r="M868" s="1" t="s">
        <v>55</v>
      </c>
    </row>
    <row r="869" spans="1:13" x14ac:dyDescent="0.3">
      <c r="A869" s="1" t="s">
        <v>1623</v>
      </c>
      <c r="B869" s="2">
        <v>45764</v>
      </c>
      <c r="C869" s="1" t="s">
        <v>306</v>
      </c>
      <c r="D869" s="1" t="s">
        <v>307</v>
      </c>
      <c r="E869" s="1" t="s">
        <v>16</v>
      </c>
      <c r="F869" s="1" t="s">
        <v>25</v>
      </c>
      <c r="G869" s="1" t="s">
        <v>18</v>
      </c>
      <c r="H869" s="1" t="s">
        <v>122</v>
      </c>
      <c r="I869">
        <v>2</v>
      </c>
      <c r="J869">
        <v>2086.9899999999998</v>
      </c>
      <c r="K869">
        <v>0.2</v>
      </c>
      <c r="L869">
        <v>542.24</v>
      </c>
      <c r="M869" s="1" t="s">
        <v>50</v>
      </c>
    </row>
    <row r="870" spans="1:13" x14ac:dyDescent="0.3">
      <c r="A870" s="1" t="s">
        <v>1624</v>
      </c>
      <c r="B870" s="2">
        <v>45976</v>
      </c>
      <c r="C870" s="1" t="s">
        <v>661</v>
      </c>
      <c r="D870" s="1" t="s">
        <v>662</v>
      </c>
      <c r="E870" s="1" t="s">
        <v>16</v>
      </c>
      <c r="F870" s="1" t="s">
        <v>25</v>
      </c>
      <c r="G870" s="1" t="s">
        <v>18</v>
      </c>
      <c r="H870" s="1" t="s">
        <v>141</v>
      </c>
      <c r="I870">
        <v>9</v>
      </c>
      <c r="J870">
        <v>10324.49</v>
      </c>
      <c r="K870">
        <v>0.1</v>
      </c>
      <c r="L870">
        <v>2395.81</v>
      </c>
      <c r="M870" s="1" t="s">
        <v>55</v>
      </c>
    </row>
    <row r="871" spans="1:13" x14ac:dyDescent="0.3">
      <c r="A871" s="1" t="s">
        <v>1625</v>
      </c>
      <c r="B871" s="2">
        <v>45705</v>
      </c>
      <c r="C871" s="1" t="s">
        <v>692</v>
      </c>
      <c r="D871" s="1" t="s">
        <v>693</v>
      </c>
      <c r="E871" s="1" t="s">
        <v>43</v>
      </c>
      <c r="F871" s="1" t="s">
        <v>25</v>
      </c>
      <c r="G871" s="1" t="s">
        <v>18</v>
      </c>
      <c r="H871" s="1" t="s">
        <v>145</v>
      </c>
      <c r="I871">
        <v>2</v>
      </c>
      <c r="J871">
        <v>3923.81</v>
      </c>
      <c r="K871">
        <v>0.15</v>
      </c>
      <c r="L871">
        <v>1244.81</v>
      </c>
      <c r="M871" s="1" t="s">
        <v>28</v>
      </c>
    </row>
    <row r="872" spans="1:13" x14ac:dyDescent="0.3">
      <c r="A872" s="1" t="s">
        <v>1626</v>
      </c>
      <c r="B872" s="2">
        <v>45718</v>
      </c>
      <c r="C872" s="1" t="s">
        <v>306</v>
      </c>
      <c r="D872" s="1" t="s">
        <v>307</v>
      </c>
      <c r="E872" s="1" t="s">
        <v>16</v>
      </c>
      <c r="F872" s="1" t="s">
        <v>17</v>
      </c>
      <c r="G872" s="1" t="s">
        <v>32</v>
      </c>
      <c r="H872" s="1" t="s">
        <v>33</v>
      </c>
      <c r="I872">
        <v>1</v>
      </c>
      <c r="J872">
        <v>17989.759999999998</v>
      </c>
      <c r="K872">
        <v>0</v>
      </c>
      <c r="L872">
        <v>4609.16</v>
      </c>
      <c r="M872" s="1" t="s">
        <v>20</v>
      </c>
    </row>
    <row r="873" spans="1:13" x14ac:dyDescent="0.3">
      <c r="A873" s="1" t="s">
        <v>1627</v>
      </c>
      <c r="B873" s="2">
        <v>45994</v>
      </c>
      <c r="C873" s="1" t="s">
        <v>124</v>
      </c>
      <c r="D873" s="1" t="s">
        <v>125</v>
      </c>
      <c r="E873" s="1" t="s">
        <v>43</v>
      </c>
      <c r="F873" s="1" t="s">
        <v>69</v>
      </c>
      <c r="G873" s="1" t="s">
        <v>44</v>
      </c>
      <c r="H873" s="1" t="s">
        <v>90</v>
      </c>
      <c r="I873">
        <v>7</v>
      </c>
      <c r="J873">
        <v>60777.85</v>
      </c>
      <c r="K873">
        <v>0.2</v>
      </c>
      <c r="L873">
        <v>10070.280000000001</v>
      </c>
      <c r="M873" s="1" t="s">
        <v>28</v>
      </c>
    </row>
    <row r="874" spans="1:13" x14ac:dyDescent="0.3">
      <c r="A874" s="1" t="s">
        <v>1628</v>
      </c>
      <c r="B874" s="2">
        <v>45683</v>
      </c>
      <c r="C874" s="1" t="s">
        <v>127</v>
      </c>
      <c r="D874" s="1" t="s">
        <v>128</v>
      </c>
      <c r="E874" s="1" t="s">
        <v>43</v>
      </c>
      <c r="F874" s="1" t="s">
        <v>69</v>
      </c>
      <c r="G874" s="1" t="s">
        <v>18</v>
      </c>
      <c r="H874" s="1" t="s">
        <v>97</v>
      </c>
      <c r="I874">
        <v>4</v>
      </c>
      <c r="J874">
        <v>3674.91</v>
      </c>
      <c r="K874">
        <v>0.2</v>
      </c>
      <c r="L874">
        <v>988.28</v>
      </c>
      <c r="M874" s="1" t="s">
        <v>55</v>
      </c>
    </row>
    <row r="875" spans="1:13" x14ac:dyDescent="0.3">
      <c r="A875" s="1" t="s">
        <v>1629</v>
      </c>
      <c r="B875" s="2">
        <v>45949</v>
      </c>
      <c r="C875" s="1" t="s">
        <v>540</v>
      </c>
      <c r="D875" s="1" t="s">
        <v>541</v>
      </c>
      <c r="E875" s="1" t="s">
        <v>74</v>
      </c>
      <c r="F875" s="1" t="s">
        <v>17</v>
      </c>
      <c r="G875" s="1" t="s">
        <v>18</v>
      </c>
      <c r="H875" s="1" t="s">
        <v>122</v>
      </c>
      <c r="I875">
        <v>7</v>
      </c>
      <c r="J875">
        <v>7712.42</v>
      </c>
      <c r="K875">
        <v>0.2</v>
      </c>
      <c r="L875">
        <v>2535.13</v>
      </c>
      <c r="M875" s="1" t="s">
        <v>50</v>
      </c>
    </row>
    <row r="876" spans="1:13" x14ac:dyDescent="0.3">
      <c r="A876" s="1" t="s">
        <v>1630</v>
      </c>
      <c r="B876" s="2">
        <v>45914</v>
      </c>
      <c r="C876" s="1" t="s">
        <v>294</v>
      </c>
      <c r="D876" s="1" t="s">
        <v>295</v>
      </c>
      <c r="E876" s="1" t="s">
        <v>74</v>
      </c>
      <c r="F876" s="1" t="s">
        <v>25</v>
      </c>
      <c r="G876" s="1" t="s">
        <v>32</v>
      </c>
      <c r="H876" s="1" t="s">
        <v>59</v>
      </c>
      <c r="I876">
        <v>4</v>
      </c>
      <c r="J876">
        <v>27446.28</v>
      </c>
      <c r="K876">
        <v>0.15</v>
      </c>
      <c r="L876">
        <v>5253.92</v>
      </c>
      <c r="M876" s="1" t="s">
        <v>55</v>
      </c>
    </row>
    <row r="877" spans="1:13" x14ac:dyDescent="0.3">
      <c r="A877" s="1" t="s">
        <v>1631</v>
      </c>
      <c r="B877" s="2">
        <v>45665</v>
      </c>
      <c r="C877" s="1" t="s">
        <v>469</v>
      </c>
      <c r="D877" s="1" t="s">
        <v>470</v>
      </c>
      <c r="E877" s="1" t="s">
        <v>74</v>
      </c>
      <c r="F877" s="1" t="s">
        <v>69</v>
      </c>
      <c r="G877" s="1" t="s">
        <v>44</v>
      </c>
      <c r="H877" s="1" t="s">
        <v>70</v>
      </c>
      <c r="I877">
        <v>9</v>
      </c>
      <c r="J877">
        <v>90641.01</v>
      </c>
      <c r="K877">
        <v>0.2</v>
      </c>
      <c r="L877">
        <v>16601.810000000001</v>
      </c>
      <c r="M877" s="1" t="s">
        <v>28</v>
      </c>
    </row>
    <row r="878" spans="1:13" x14ac:dyDescent="0.3">
      <c r="A878" s="1" t="s">
        <v>1632</v>
      </c>
      <c r="B878" s="2">
        <v>45770</v>
      </c>
      <c r="C878" s="1" t="s">
        <v>587</v>
      </c>
      <c r="D878" s="1" t="s">
        <v>588</v>
      </c>
      <c r="E878" s="1" t="s">
        <v>24</v>
      </c>
      <c r="F878" s="1" t="s">
        <v>69</v>
      </c>
      <c r="G878" s="1" t="s">
        <v>18</v>
      </c>
      <c r="H878" s="1" t="s">
        <v>141</v>
      </c>
      <c r="I878">
        <v>6</v>
      </c>
      <c r="J878">
        <v>6120.15</v>
      </c>
      <c r="K878">
        <v>0.1</v>
      </c>
      <c r="L878">
        <v>1746.89</v>
      </c>
      <c r="M878" s="1" t="s">
        <v>55</v>
      </c>
    </row>
    <row r="879" spans="1:13" x14ac:dyDescent="0.3">
      <c r="A879" s="1" t="s">
        <v>1633</v>
      </c>
      <c r="B879" s="2">
        <v>46012</v>
      </c>
      <c r="C879" s="1" t="s">
        <v>136</v>
      </c>
      <c r="D879" s="1" t="s">
        <v>137</v>
      </c>
      <c r="E879" s="1" t="s">
        <v>24</v>
      </c>
      <c r="F879" s="1" t="s">
        <v>69</v>
      </c>
      <c r="G879" s="1" t="s">
        <v>44</v>
      </c>
      <c r="H879" s="1" t="s">
        <v>75</v>
      </c>
      <c r="I879">
        <v>8</v>
      </c>
      <c r="J879">
        <v>76708.97</v>
      </c>
      <c r="K879">
        <v>0.15</v>
      </c>
      <c r="L879">
        <v>10059.540000000001</v>
      </c>
      <c r="M879" s="1" t="s">
        <v>50</v>
      </c>
    </row>
    <row r="880" spans="1:13" x14ac:dyDescent="0.3">
      <c r="A880" s="1" t="s">
        <v>1634</v>
      </c>
      <c r="B880" s="2">
        <v>45910</v>
      </c>
      <c r="C880" s="1" t="s">
        <v>707</v>
      </c>
      <c r="D880" s="1" t="s">
        <v>708</v>
      </c>
      <c r="E880" s="1" t="s">
        <v>24</v>
      </c>
      <c r="F880" s="1" t="s">
        <v>69</v>
      </c>
      <c r="G880" s="1" t="s">
        <v>18</v>
      </c>
      <c r="H880" s="1" t="s">
        <v>122</v>
      </c>
      <c r="I880">
        <v>3</v>
      </c>
      <c r="J880">
        <v>4115.1899999999996</v>
      </c>
      <c r="K880">
        <v>0.05</v>
      </c>
      <c r="L880">
        <v>1086.57</v>
      </c>
      <c r="M880" s="1" t="s">
        <v>55</v>
      </c>
    </row>
    <row r="881" spans="1:13" x14ac:dyDescent="0.3">
      <c r="A881" s="1" t="s">
        <v>1635</v>
      </c>
      <c r="B881" s="2">
        <v>45837</v>
      </c>
      <c r="C881" s="1" t="s">
        <v>249</v>
      </c>
      <c r="D881" s="1" t="s">
        <v>250</v>
      </c>
      <c r="E881" s="1" t="s">
        <v>74</v>
      </c>
      <c r="F881" s="1" t="s">
        <v>69</v>
      </c>
      <c r="G881" s="1" t="s">
        <v>32</v>
      </c>
      <c r="H881" s="1" t="s">
        <v>38</v>
      </c>
      <c r="I881">
        <v>4</v>
      </c>
      <c r="J881">
        <v>66391.100000000006</v>
      </c>
      <c r="K881">
        <v>0.2</v>
      </c>
      <c r="L881">
        <v>14774.41</v>
      </c>
      <c r="M881" s="1" t="s">
        <v>50</v>
      </c>
    </row>
    <row r="882" spans="1:13" x14ac:dyDescent="0.3">
      <c r="A882" s="1" t="s">
        <v>1636</v>
      </c>
      <c r="B882" s="2">
        <v>45864</v>
      </c>
      <c r="C882" s="1" t="s">
        <v>1637</v>
      </c>
      <c r="D882" s="1" t="s">
        <v>1638</v>
      </c>
      <c r="E882" s="1" t="s">
        <v>24</v>
      </c>
      <c r="F882" s="1" t="s">
        <v>25</v>
      </c>
      <c r="G882" s="1" t="s">
        <v>18</v>
      </c>
      <c r="H882" s="1" t="s">
        <v>97</v>
      </c>
      <c r="I882">
        <v>9</v>
      </c>
      <c r="J882">
        <v>16449.59</v>
      </c>
      <c r="K882">
        <v>0.1</v>
      </c>
      <c r="L882">
        <v>4736.72</v>
      </c>
      <c r="M882" s="1" t="s">
        <v>28</v>
      </c>
    </row>
    <row r="883" spans="1:13" x14ac:dyDescent="0.3">
      <c r="A883" s="1" t="s">
        <v>1639</v>
      </c>
      <c r="B883" s="2">
        <v>45960</v>
      </c>
      <c r="C883" s="1" t="s">
        <v>270</v>
      </c>
      <c r="D883" s="1" t="s">
        <v>271</v>
      </c>
      <c r="E883" s="1" t="s">
        <v>74</v>
      </c>
      <c r="F883" s="1" t="s">
        <v>25</v>
      </c>
      <c r="G883" s="1" t="s">
        <v>18</v>
      </c>
      <c r="H883" s="1" t="s">
        <v>141</v>
      </c>
      <c r="I883">
        <v>6</v>
      </c>
      <c r="J883">
        <v>5648.61</v>
      </c>
      <c r="K883">
        <v>0.2</v>
      </c>
      <c r="L883">
        <v>1321.14</v>
      </c>
      <c r="M883" s="1" t="s">
        <v>50</v>
      </c>
    </row>
    <row r="884" spans="1:13" x14ac:dyDescent="0.3">
      <c r="A884" s="1" t="s">
        <v>1640</v>
      </c>
      <c r="B884" s="2">
        <v>45784</v>
      </c>
      <c r="C884" s="1" t="s">
        <v>661</v>
      </c>
      <c r="D884" s="1" t="s">
        <v>662</v>
      </c>
      <c r="E884" s="1" t="s">
        <v>37</v>
      </c>
      <c r="F884" s="1" t="s">
        <v>25</v>
      </c>
      <c r="G884" s="1" t="s">
        <v>32</v>
      </c>
      <c r="H884" s="1" t="s">
        <v>54</v>
      </c>
      <c r="I884">
        <v>10</v>
      </c>
      <c r="J884">
        <v>179244.33</v>
      </c>
      <c r="K884">
        <v>0.1</v>
      </c>
      <c r="L884">
        <v>44953.86</v>
      </c>
      <c r="M884" s="1" t="s">
        <v>55</v>
      </c>
    </row>
    <row r="885" spans="1:13" x14ac:dyDescent="0.3">
      <c r="A885" s="1" t="s">
        <v>1641</v>
      </c>
      <c r="B885" s="2">
        <v>45713</v>
      </c>
      <c r="C885" s="1" t="s">
        <v>1218</v>
      </c>
      <c r="D885" s="1" t="s">
        <v>1219</v>
      </c>
      <c r="E885" s="1" t="s">
        <v>37</v>
      </c>
      <c r="F885" s="1" t="s">
        <v>25</v>
      </c>
      <c r="G885" s="1" t="s">
        <v>32</v>
      </c>
      <c r="H885" s="1" t="s">
        <v>79</v>
      </c>
      <c r="I885">
        <v>9</v>
      </c>
      <c r="J885">
        <v>64835.18</v>
      </c>
      <c r="K885">
        <v>0.1</v>
      </c>
      <c r="L885">
        <v>13562.04</v>
      </c>
      <c r="M885" s="1" t="s">
        <v>50</v>
      </c>
    </row>
    <row r="886" spans="1:13" x14ac:dyDescent="0.3">
      <c r="A886" s="1" t="s">
        <v>1642</v>
      </c>
      <c r="B886" s="2">
        <v>45871</v>
      </c>
      <c r="C886" s="1" t="s">
        <v>291</v>
      </c>
      <c r="D886" s="1" t="s">
        <v>292</v>
      </c>
      <c r="E886" s="1" t="s">
        <v>74</v>
      </c>
      <c r="F886" s="1" t="s">
        <v>17</v>
      </c>
      <c r="G886" s="1" t="s">
        <v>44</v>
      </c>
      <c r="H886" s="1" t="s">
        <v>75</v>
      </c>
      <c r="I886">
        <v>6</v>
      </c>
      <c r="J886">
        <v>50008.82</v>
      </c>
      <c r="K886">
        <v>0.1</v>
      </c>
      <c r="L886">
        <v>9820.7199999999993</v>
      </c>
      <c r="M886" s="1" t="s">
        <v>55</v>
      </c>
    </row>
    <row r="887" spans="1:13" x14ac:dyDescent="0.3">
      <c r="A887" s="1" t="s">
        <v>1643</v>
      </c>
      <c r="B887" s="2">
        <v>45671</v>
      </c>
      <c r="C887" s="1" t="s">
        <v>77</v>
      </c>
      <c r="D887" s="1" t="s">
        <v>78</v>
      </c>
      <c r="E887" s="1" t="s">
        <v>43</v>
      </c>
      <c r="F887" s="1" t="s">
        <v>17</v>
      </c>
      <c r="G887" s="1" t="s">
        <v>18</v>
      </c>
      <c r="H887" s="1" t="s">
        <v>122</v>
      </c>
      <c r="I887">
        <v>7</v>
      </c>
      <c r="J887">
        <v>6668.87</v>
      </c>
      <c r="K887">
        <v>0.2</v>
      </c>
      <c r="L887">
        <v>2198.84</v>
      </c>
      <c r="M887" s="1" t="s">
        <v>28</v>
      </c>
    </row>
    <row r="888" spans="1:13" x14ac:dyDescent="0.3">
      <c r="A888" s="1" t="s">
        <v>1644</v>
      </c>
      <c r="B888" s="2">
        <v>45685</v>
      </c>
      <c r="C888" s="1" t="s">
        <v>658</v>
      </c>
      <c r="D888" s="1" t="s">
        <v>659</v>
      </c>
      <c r="E888" s="1" t="s">
        <v>16</v>
      </c>
      <c r="F888" s="1" t="s">
        <v>17</v>
      </c>
      <c r="G888" s="1" t="s">
        <v>18</v>
      </c>
      <c r="H888" s="1" t="s">
        <v>19</v>
      </c>
      <c r="I888">
        <v>8</v>
      </c>
      <c r="J888">
        <v>13876.06</v>
      </c>
      <c r="K888">
        <v>0.05</v>
      </c>
      <c r="L888">
        <v>3892.27</v>
      </c>
      <c r="M888" s="1" t="s">
        <v>28</v>
      </c>
    </row>
    <row r="889" spans="1:13" x14ac:dyDescent="0.3">
      <c r="A889" s="1" t="s">
        <v>1645</v>
      </c>
      <c r="B889" s="2">
        <v>45735</v>
      </c>
      <c r="C889" s="1" t="s">
        <v>665</v>
      </c>
      <c r="D889" s="1" t="s">
        <v>666</v>
      </c>
      <c r="E889" s="1" t="s">
        <v>74</v>
      </c>
      <c r="F889" s="1" t="s">
        <v>69</v>
      </c>
      <c r="G889" s="1" t="s">
        <v>32</v>
      </c>
      <c r="H889" s="1" t="s">
        <v>79</v>
      </c>
      <c r="I889">
        <v>6</v>
      </c>
      <c r="J889">
        <v>81319.990000000005</v>
      </c>
      <c r="K889">
        <v>0.2</v>
      </c>
      <c r="L889">
        <v>19666.810000000001</v>
      </c>
      <c r="M889" s="1" t="s">
        <v>55</v>
      </c>
    </row>
    <row r="890" spans="1:13" x14ac:dyDescent="0.3">
      <c r="A890" s="1" t="s">
        <v>1646</v>
      </c>
      <c r="B890" s="2">
        <v>45873</v>
      </c>
      <c r="C890" s="1" t="s">
        <v>329</v>
      </c>
      <c r="D890" s="1" t="s">
        <v>330</v>
      </c>
      <c r="E890" s="1" t="s">
        <v>74</v>
      </c>
      <c r="F890" s="1" t="s">
        <v>69</v>
      </c>
      <c r="G890" s="1" t="s">
        <v>32</v>
      </c>
      <c r="H890" s="1" t="s">
        <v>33</v>
      </c>
      <c r="I890">
        <v>2</v>
      </c>
      <c r="J890">
        <v>32703.13</v>
      </c>
      <c r="K890">
        <v>0.1</v>
      </c>
      <c r="L890">
        <v>7958.71</v>
      </c>
      <c r="M890" s="1" t="s">
        <v>50</v>
      </c>
    </row>
    <row r="891" spans="1:13" x14ac:dyDescent="0.3">
      <c r="A891" s="1" t="s">
        <v>1647</v>
      </c>
      <c r="B891" s="2">
        <v>46022</v>
      </c>
      <c r="C891" s="1" t="s">
        <v>178</v>
      </c>
      <c r="D891" s="1" t="s">
        <v>179</v>
      </c>
      <c r="E891" s="1" t="s">
        <v>16</v>
      </c>
      <c r="F891" s="1" t="s">
        <v>25</v>
      </c>
      <c r="G891" s="1" t="s">
        <v>26</v>
      </c>
      <c r="H891" s="1" t="s">
        <v>86</v>
      </c>
      <c r="I891">
        <v>2</v>
      </c>
      <c r="J891">
        <v>3547.29</v>
      </c>
      <c r="K891">
        <v>0.15</v>
      </c>
      <c r="L891">
        <v>1019.43</v>
      </c>
      <c r="M891" s="1" t="s">
        <v>28</v>
      </c>
    </row>
    <row r="892" spans="1:13" x14ac:dyDescent="0.3">
      <c r="A892" s="1" t="s">
        <v>1648</v>
      </c>
      <c r="B892" s="2">
        <v>45811</v>
      </c>
      <c r="C892" s="1" t="s">
        <v>853</v>
      </c>
      <c r="D892" s="1" t="s">
        <v>854</v>
      </c>
      <c r="E892" s="1" t="s">
        <v>16</v>
      </c>
      <c r="F892" s="1" t="s">
        <v>69</v>
      </c>
      <c r="G892" s="1" t="s">
        <v>18</v>
      </c>
      <c r="H892" s="1" t="s">
        <v>141</v>
      </c>
      <c r="I892">
        <v>2</v>
      </c>
      <c r="J892">
        <v>3446.8</v>
      </c>
      <c r="K892">
        <v>0.15</v>
      </c>
      <c r="L892">
        <v>904.55</v>
      </c>
      <c r="M892" s="1" t="s">
        <v>50</v>
      </c>
    </row>
    <row r="893" spans="1:13" x14ac:dyDescent="0.3">
      <c r="A893" s="1" t="s">
        <v>1649</v>
      </c>
      <c r="B893" s="2">
        <v>45671</v>
      </c>
      <c r="C893" s="1" t="s">
        <v>1316</v>
      </c>
      <c r="D893" s="1" t="s">
        <v>1317</v>
      </c>
      <c r="E893" s="1" t="s">
        <v>24</v>
      </c>
      <c r="F893" s="1" t="s">
        <v>25</v>
      </c>
      <c r="G893" s="1" t="s">
        <v>32</v>
      </c>
      <c r="H893" s="1" t="s">
        <v>79</v>
      </c>
      <c r="I893">
        <v>6</v>
      </c>
      <c r="J893">
        <v>55167.16</v>
      </c>
      <c r="K893">
        <v>0.15</v>
      </c>
      <c r="L893">
        <v>14582.33</v>
      </c>
      <c r="M893" s="1" t="s">
        <v>55</v>
      </c>
    </row>
    <row r="894" spans="1:13" x14ac:dyDescent="0.3">
      <c r="A894" s="1" t="s">
        <v>1650</v>
      </c>
      <c r="B894" s="2">
        <v>45844</v>
      </c>
      <c r="C894" s="1" t="s">
        <v>326</v>
      </c>
      <c r="D894" s="1" t="s">
        <v>327</v>
      </c>
      <c r="E894" s="1" t="s">
        <v>16</v>
      </c>
      <c r="F894" s="1" t="s">
        <v>25</v>
      </c>
      <c r="G894" s="1" t="s">
        <v>18</v>
      </c>
      <c r="H894" s="1" t="s">
        <v>19</v>
      </c>
      <c r="I894">
        <v>3</v>
      </c>
      <c r="J894">
        <v>5479.97</v>
      </c>
      <c r="K894">
        <v>0.15</v>
      </c>
      <c r="L894">
        <v>1397.71</v>
      </c>
      <c r="M894" s="1" t="s">
        <v>55</v>
      </c>
    </row>
    <row r="895" spans="1:13" x14ac:dyDescent="0.3">
      <c r="A895" s="1" t="s">
        <v>1651</v>
      </c>
      <c r="B895" s="2">
        <v>45969</v>
      </c>
      <c r="C895" s="1" t="s">
        <v>233</v>
      </c>
      <c r="D895" s="1" t="s">
        <v>234</v>
      </c>
      <c r="E895" s="1" t="s">
        <v>74</v>
      </c>
      <c r="F895" s="1" t="s">
        <v>25</v>
      </c>
      <c r="G895" s="1" t="s">
        <v>18</v>
      </c>
      <c r="H895" s="1" t="s">
        <v>145</v>
      </c>
      <c r="I895">
        <v>10</v>
      </c>
      <c r="J895">
        <v>17365.39</v>
      </c>
      <c r="K895">
        <v>0.15</v>
      </c>
      <c r="L895">
        <v>5624.84</v>
      </c>
      <c r="M895" s="1" t="s">
        <v>28</v>
      </c>
    </row>
    <row r="896" spans="1:13" x14ac:dyDescent="0.3">
      <c r="A896" s="1" t="s">
        <v>1652</v>
      </c>
      <c r="B896" s="2">
        <v>45664</v>
      </c>
      <c r="C896" s="1" t="s">
        <v>485</v>
      </c>
      <c r="D896" s="1" t="s">
        <v>486</v>
      </c>
      <c r="E896" s="1" t="s">
        <v>16</v>
      </c>
      <c r="F896" s="1" t="s">
        <v>25</v>
      </c>
      <c r="G896" s="1" t="s">
        <v>18</v>
      </c>
      <c r="H896" s="1" t="s">
        <v>122</v>
      </c>
      <c r="I896">
        <v>1</v>
      </c>
      <c r="J896">
        <v>2180.38</v>
      </c>
      <c r="K896">
        <v>0.1</v>
      </c>
      <c r="L896">
        <v>674.46</v>
      </c>
      <c r="M896" s="1" t="s">
        <v>55</v>
      </c>
    </row>
    <row r="897" spans="1:13" x14ac:dyDescent="0.3">
      <c r="A897" s="1" t="s">
        <v>1653</v>
      </c>
      <c r="B897" s="2">
        <v>45660</v>
      </c>
      <c r="C897" s="1" t="s">
        <v>147</v>
      </c>
      <c r="D897" s="1" t="s">
        <v>148</v>
      </c>
      <c r="E897" s="1" t="s">
        <v>43</v>
      </c>
      <c r="F897" s="1" t="s">
        <v>69</v>
      </c>
      <c r="G897" s="1" t="s">
        <v>26</v>
      </c>
      <c r="H897" s="1" t="s">
        <v>27</v>
      </c>
      <c r="I897">
        <v>2</v>
      </c>
      <c r="J897">
        <v>3918.26</v>
      </c>
      <c r="K897">
        <v>0.15</v>
      </c>
      <c r="L897">
        <v>948.17</v>
      </c>
      <c r="M897" s="1" t="s">
        <v>55</v>
      </c>
    </row>
    <row r="898" spans="1:13" x14ac:dyDescent="0.3">
      <c r="A898" s="1" t="s">
        <v>1654</v>
      </c>
      <c r="B898" s="2">
        <v>45768</v>
      </c>
      <c r="C898" s="1" t="s">
        <v>1655</v>
      </c>
      <c r="D898" s="1" t="s">
        <v>1656</v>
      </c>
      <c r="E898" s="1" t="s">
        <v>43</v>
      </c>
      <c r="F898" s="1" t="s">
        <v>69</v>
      </c>
      <c r="G898" s="1" t="s">
        <v>32</v>
      </c>
      <c r="H898" s="1" t="s">
        <v>79</v>
      </c>
      <c r="I898">
        <v>2</v>
      </c>
      <c r="J898">
        <v>17256.599999999999</v>
      </c>
      <c r="K898">
        <v>0.1</v>
      </c>
      <c r="L898">
        <v>3225.44</v>
      </c>
      <c r="M898" s="1" t="s">
        <v>28</v>
      </c>
    </row>
    <row r="899" spans="1:13" x14ac:dyDescent="0.3">
      <c r="A899" s="1" t="s">
        <v>1657</v>
      </c>
      <c r="B899" s="2">
        <v>45895</v>
      </c>
      <c r="C899" s="1" t="s">
        <v>306</v>
      </c>
      <c r="D899" s="1" t="s">
        <v>307</v>
      </c>
      <c r="E899" s="1" t="s">
        <v>74</v>
      </c>
      <c r="F899" s="1" t="s">
        <v>69</v>
      </c>
      <c r="G899" s="1" t="s">
        <v>26</v>
      </c>
      <c r="H899" s="1" t="s">
        <v>244</v>
      </c>
      <c r="I899">
        <v>2</v>
      </c>
      <c r="J899">
        <v>7936.86</v>
      </c>
      <c r="K899">
        <v>0.15</v>
      </c>
      <c r="L899">
        <v>2197.85</v>
      </c>
      <c r="M899" s="1" t="s">
        <v>55</v>
      </c>
    </row>
    <row r="900" spans="1:13" x14ac:dyDescent="0.3">
      <c r="A900" s="1" t="s">
        <v>1658</v>
      </c>
      <c r="B900" s="2">
        <v>46020</v>
      </c>
      <c r="C900" s="1" t="s">
        <v>382</v>
      </c>
      <c r="D900" s="1" t="s">
        <v>383</v>
      </c>
      <c r="E900" s="1" t="s">
        <v>37</v>
      </c>
      <c r="F900" s="1" t="s">
        <v>17</v>
      </c>
      <c r="G900" s="1" t="s">
        <v>26</v>
      </c>
      <c r="H900" s="1" t="s">
        <v>244</v>
      </c>
      <c r="I900">
        <v>8</v>
      </c>
      <c r="J900">
        <v>19965.830000000002</v>
      </c>
      <c r="K900">
        <v>0.05</v>
      </c>
      <c r="L900">
        <v>4534.0600000000004</v>
      </c>
      <c r="M900" s="1" t="s">
        <v>20</v>
      </c>
    </row>
    <row r="901" spans="1:13" x14ac:dyDescent="0.3">
      <c r="A901" s="1" t="s">
        <v>1659</v>
      </c>
      <c r="B901" s="2">
        <v>45896</v>
      </c>
      <c r="C901" s="1" t="s">
        <v>476</v>
      </c>
      <c r="D901" s="1" t="s">
        <v>477</v>
      </c>
      <c r="E901" s="1" t="s">
        <v>37</v>
      </c>
      <c r="F901" s="1" t="s">
        <v>25</v>
      </c>
      <c r="G901" s="1" t="s">
        <v>32</v>
      </c>
      <c r="H901" s="1" t="s">
        <v>54</v>
      </c>
      <c r="I901">
        <v>5</v>
      </c>
      <c r="J901">
        <v>46520.65</v>
      </c>
      <c r="K901">
        <v>0.15</v>
      </c>
      <c r="L901">
        <v>10528.21</v>
      </c>
      <c r="M901" s="1" t="s">
        <v>28</v>
      </c>
    </row>
    <row r="902" spans="1:13" x14ac:dyDescent="0.3">
      <c r="A902" s="1" t="s">
        <v>1660</v>
      </c>
      <c r="B902" s="2">
        <v>45931</v>
      </c>
      <c r="C902" s="1" t="s">
        <v>510</v>
      </c>
      <c r="D902" s="1" t="s">
        <v>511</v>
      </c>
      <c r="E902" s="1" t="s">
        <v>43</v>
      </c>
      <c r="F902" s="1" t="s">
        <v>25</v>
      </c>
      <c r="G902" s="1" t="s">
        <v>18</v>
      </c>
      <c r="H902" s="1" t="s">
        <v>141</v>
      </c>
      <c r="I902">
        <v>9</v>
      </c>
      <c r="J902">
        <v>17500.2</v>
      </c>
      <c r="K902">
        <v>0.15</v>
      </c>
      <c r="L902">
        <v>4025.14</v>
      </c>
      <c r="M902" s="1" t="s">
        <v>39</v>
      </c>
    </row>
    <row r="903" spans="1:13" x14ac:dyDescent="0.3">
      <c r="A903" s="1" t="s">
        <v>1661</v>
      </c>
      <c r="B903" s="2">
        <v>45951</v>
      </c>
      <c r="C903" s="1" t="s">
        <v>199</v>
      </c>
      <c r="D903" s="1" t="s">
        <v>200</v>
      </c>
      <c r="E903" s="1" t="s">
        <v>43</v>
      </c>
      <c r="F903" s="1" t="s">
        <v>69</v>
      </c>
      <c r="G903" s="1" t="s">
        <v>26</v>
      </c>
      <c r="H903" s="1" t="s">
        <v>86</v>
      </c>
      <c r="I903">
        <v>9</v>
      </c>
      <c r="J903">
        <v>39951.910000000003</v>
      </c>
      <c r="K903">
        <v>0</v>
      </c>
      <c r="L903">
        <v>10941.94</v>
      </c>
      <c r="M903" s="1" t="s">
        <v>39</v>
      </c>
    </row>
    <row r="904" spans="1:13" x14ac:dyDescent="0.3">
      <c r="A904" s="1" t="s">
        <v>1662</v>
      </c>
      <c r="B904" s="2">
        <v>45884</v>
      </c>
      <c r="C904" s="1" t="s">
        <v>208</v>
      </c>
      <c r="D904" s="1" t="s">
        <v>209</v>
      </c>
      <c r="E904" s="1" t="s">
        <v>16</v>
      </c>
      <c r="F904" s="1" t="s">
        <v>17</v>
      </c>
      <c r="G904" s="1" t="s">
        <v>44</v>
      </c>
      <c r="H904" s="1" t="s">
        <v>90</v>
      </c>
      <c r="I904">
        <v>8</v>
      </c>
      <c r="J904">
        <v>62401.37</v>
      </c>
      <c r="K904">
        <v>0.2</v>
      </c>
      <c r="L904">
        <v>8586.9599999999991</v>
      </c>
      <c r="M904" s="1" t="s">
        <v>55</v>
      </c>
    </row>
    <row r="905" spans="1:13" x14ac:dyDescent="0.3">
      <c r="A905" s="1" t="s">
        <v>1663</v>
      </c>
      <c r="B905" s="2">
        <v>45672</v>
      </c>
      <c r="C905" s="1" t="s">
        <v>1597</v>
      </c>
      <c r="D905" s="1" t="s">
        <v>1598</v>
      </c>
      <c r="E905" s="1" t="s">
        <v>74</v>
      </c>
      <c r="F905" s="1" t="s">
        <v>69</v>
      </c>
      <c r="G905" s="1" t="s">
        <v>44</v>
      </c>
      <c r="H905" s="1" t="s">
        <v>70</v>
      </c>
      <c r="I905">
        <v>10</v>
      </c>
      <c r="J905">
        <v>141739.19</v>
      </c>
      <c r="K905">
        <v>0</v>
      </c>
      <c r="L905">
        <v>24129.26</v>
      </c>
      <c r="M905" s="1" t="s">
        <v>28</v>
      </c>
    </row>
    <row r="906" spans="1:13" x14ac:dyDescent="0.3">
      <c r="A906" s="1" t="s">
        <v>1664</v>
      </c>
      <c r="B906" s="2">
        <v>45849</v>
      </c>
      <c r="C906" s="1" t="s">
        <v>554</v>
      </c>
      <c r="D906" s="1" t="s">
        <v>555</v>
      </c>
      <c r="E906" s="1" t="s">
        <v>74</v>
      </c>
      <c r="F906" s="1" t="s">
        <v>25</v>
      </c>
      <c r="G906" s="1" t="s">
        <v>18</v>
      </c>
      <c r="H906" s="1" t="s">
        <v>19</v>
      </c>
      <c r="I906">
        <v>10</v>
      </c>
      <c r="J906">
        <v>18456.13</v>
      </c>
      <c r="K906">
        <v>0.1</v>
      </c>
      <c r="L906">
        <v>4736.54</v>
      </c>
      <c r="M906" s="1" t="s">
        <v>20</v>
      </c>
    </row>
    <row r="907" spans="1:13" x14ac:dyDescent="0.3">
      <c r="A907" s="1" t="s">
        <v>1665</v>
      </c>
      <c r="B907" s="2">
        <v>45776</v>
      </c>
      <c r="C907" s="1" t="s">
        <v>668</v>
      </c>
      <c r="D907" s="1" t="s">
        <v>669</v>
      </c>
      <c r="E907" s="1" t="s">
        <v>16</v>
      </c>
      <c r="F907" s="1" t="s">
        <v>17</v>
      </c>
      <c r="G907" s="1" t="s">
        <v>26</v>
      </c>
      <c r="H907" s="1" t="s">
        <v>86</v>
      </c>
      <c r="I907">
        <v>9</v>
      </c>
      <c r="J907">
        <v>19305.8</v>
      </c>
      <c r="K907">
        <v>0</v>
      </c>
      <c r="L907">
        <v>5323.5</v>
      </c>
      <c r="M907" s="1" t="s">
        <v>28</v>
      </c>
    </row>
    <row r="908" spans="1:13" x14ac:dyDescent="0.3">
      <c r="A908" s="1" t="s">
        <v>1666</v>
      </c>
      <c r="B908" s="2">
        <v>45685</v>
      </c>
      <c r="C908" s="1" t="s">
        <v>924</v>
      </c>
      <c r="D908" s="1" t="s">
        <v>925</v>
      </c>
      <c r="E908" s="1" t="s">
        <v>16</v>
      </c>
      <c r="F908" s="1" t="s">
        <v>69</v>
      </c>
      <c r="G908" s="1" t="s">
        <v>32</v>
      </c>
      <c r="H908" s="1" t="s">
        <v>54</v>
      </c>
      <c r="I908">
        <v>5</v>
      </c>
      <c r="J908">
        <v>67513.67</v>
      </c>
      <c r="K908">
        <v>0</v>
      </c>
      <c r="L908">
        <v>17155.53</v>
      </c>
      <c r="M908" s="1" t="s">
        <v>55</v>
      </c>
    </row>
    <row r="909" spans="1:13" x14ac:dyDescent="0.3">
      <c r="A909" s="1" t="s">
        <v>1667</v>
      </c>
      <c r="B909" s="2">
        <v>45859</v>
      </c>
      <c r="C909" s="1" t="s">
        <v>143</v>
      </c>
      <c r="D909" s="1" t="s">
        <v>144</v>
      </c>
      <c r="E909" s="1" t="s">
        <v>74</v>
      </c>
      <c r="F909" s="1" t="s">
        <v>25</v>
      </c>
      <c r="G909" s="1" t="s">
        <v>32</v>
      </c>
      <c r="H909" s="1" t="s">
        <v>79</v>
      </c>
      <c r="I909">
        <v>5</v>
      </c>
      <c r="J909">
        <v>60725.59</v>
      </c>
      <c r="K909">
        <v>0.2</v>
      </c>
      <c r="L909">
        <v>12763.55</v>
      </c>
      <c r="M909" s="1" t="s">
        <v>50</v>
      </c>
    </row>
    <row r="910" spans="1:13" x14ac:dyDescent="0.3">
      <c r="A910" s="1" t="s">
        <v>1668</v>
      </c>
      <c r="B910" s="2">
        <v>45696</v>
      </c>
      <c r="C910" s="1" t="s">
        <v>682</v>
      </c>
      <c r="D910" s="1" t="s">
        <v>683</v>
      </c>
      <c r="E910" s="1" t="s">
        <v>16</v>
      </c>
      <c r="F910" s="1" t="s">
        <v>25</v>
      </c>
      <c r="G910" s="1" t="s">
        <v>26</v>
      </c>
      <c r="H910" s="1" t="s">
        <v>244</v>
      </c>
      <c r="I910">
        <v>6</v>
      </c>
      <c r="J910">
        <v>11735.02</v>
      </c>
      <c r="K910">
        <v>0.15</v>
      </c>
      <c r="L910">
        <v>2499.2199999999998</v>
      </c>
      <c r="M910" s="1" t="s">
        <v>55</v>
      </c>
    </row>
    <row r="911" spans="1:13" x14ac:dyDescent="0.3">
      <c r="A911" s="1" t="s">
        <v>1669</v>
      </c>
      <c r="B911" s="2">
        <v>45930</v>
      </c>
      <c r="C911" s="1" t="s">
        <v>632</v>
      </c>
      <c r="D911" s="1" t="s">
        <v>633</v>
      </c>
      <c r="E911" s="1" t="s">
        <v>24</v>
      </c>
      <c r="F911" s="1" t="s">
        <v>69</v>
      </c>
      <c r="G911" s="1" t="s">
        <v>18</v>
      </c>
      <c r="H911" s="1" t="s">
        <v>19</v>
      </c>
      <c r="I911">
        <v>3</v>
      </c>
      <c r="J911">
        <v>4342.24</v>
      </c>
      <c r="K911">
        <v>0.05</v>
      </c>
      <c r="L911">
        <v>1062.1199999999999</v>
      </c>
      <c r="M911" s="1" t="s">
        <v>28</v>
      </c>
    </row>
    <row r="912" spans="1:13" x14ac:dyDescent="0.3">
      <c r="A912" s="1" t="s">
        <v>1670</v>
      </c>
      <c r="B912" s="2">
        <v>45888</v>
      </c>
      <c r="C912" s="1" t="s">
        <v>1000</v>
      </c>
      <c r="D912" s="1" t="s">
        <v>1001</v>
      </c>
      <c r="E912" s="1" t="s">
        <v>74</v>
      </c>
      <c r="F912" s="1" t="s">
        <v>69</v>
      </c>
      <c r="G912" s="1" t="s">
        <v>18</v>
      </c>
      <c r="H912" s="1" t="s">
        <v>145</v>
      </c>
      <c r="I912">
        <v>8</v>
      </c>
      <c r="J912">
        <v>12122.74</v>
      </c>
      <c r="K912">
        <v>0.05</v>
      </c>
      <c r="L912">
        <v>3444.3</v>
      </c>
      <c r="M912" s="1" t="s">
        <v>28</v>
      </c>
    </row>
    <row r="913" spans="1:13" x14ac:dyDescent="0.3">
      <c r="A913" s="1" t="s">
        <v>1671</v>
      </c>
      <c r="B913" s="2">
        <v>45743</v>
      </c>
      <c r="C913" s="1" t="s">
        <v>774</v>
      </c>
      <c r="D913" s="1" t="s">
        <v>775</v>
      </c>
      <c r="E913" s="1" t="s">
        <v>24</v>
      </c>
      <c r="F913" s="1" t="s">
        <v>69</v>
      </c>
      <c r="G913" s="1" t="s">
        <v>32</v>
      </c>
      <c r="H913" s="1" t="s">
        <v>59</v>
      </c>
      <c r="I913">
        <v>10</v>
      </c>
      <c r="J913">
        <v>165519.94</v>
      </c>
      <c r="K913">
        <v>0.15</v>
      </c>
      <c r="L913">
        <v>38223.58</v>
      </c>
      <c r="M913" s="1" t="s">
        <v>55</v>
      </c>
    </row>
    <row r="914" spans="1:13" x14ac:dyDescent="0.3">
      <c r="A914" s="1" t="s">
        <v>1672</v>
      </c>
      <c r="B914" s="2">
        <v>45783</v>
      </c>
      <c r="C914" s="1" t="s">
        <v>431</v>
      </c>
      <c r="D914" s="1" t="s">
        <v>432</v>
      </c>
      <c r="E914" s="1" t="s">
        <v>43</v>
      </c>
      <c r="F914" s="1" t="s">
        <v>17</v>
      </c>
      <c r="G914" s="1" t="s">
        <v>44</v>
      </c>
      <c r="H914" s="1" t="s">
        <v>155</v>
      </c>
      <c r="I914">
        <v>1</v>
      </c>
      <c r="J914">
        <v>8474.56</v>
      </c>
      <c r="K914">
        <v>0.2</v>
      </c>
      <c r="L914">
        <v>1866.31</v>
      </c>
      <c r="M914" s="1" t="s">
        <v>20</v>
      </c>
    </row>
    <row r="915" spans="1:13" x14ac:dyDescent="0.3">
      <c r="A915" s="1" t="s">
        <v>1673</v>
      </c>
      <c r="B915" s="2">
        <v>45957</v>
      </c>
      <c r="C915" s="1" t="s">
        <v>355</v>
      </c>
      <c r="D915" s="1" t="s">
        <v>356</v>
      </c>
      <c r="E915" s="1" t="s">
        <v>74</v>
      </c>
      <c r="F915" s="1" t="s">
        <v>69</v>
      </c>
      <c r="G915" s="1" t="s">
        <v>26</v>
      </c>
      <c r="H915" s="1" t="s">
        <v>86</v>
      </c>
      <c r="I915">
        <v>8</v>
      </c>
      <c r="J915">
        <v>14934.54</v>
      </c>
      <c r="K915">
        <v>0.05</v>
      </c>
      <c r="L915">
        <v>4130.3</v>
      </c>
      <c r="M915" s="1" t="s">
        <v>55</v>
      </c>
    </row>
    <row r="916" spans="1:13" x14ac:dyDescent="0.3">
      <c r="A916" s="1" t="s">
        <v>1674</v>
      </c>
      <c r="B916" s="2">
        <v>45682</v>
      </c>
      <c r="C916" s="1" t="s">
        <v>587</v>
      </c>
      <c r="D916" s="1" t="s">
        <v>588</v>
      </c>
      <c r="E916" s="1" t="s">
        <v>37</v>
      </c>
      <c r="F916" s="1" t="s">
        <v>25</v>
      </c>
      <c r="G916" s="1" t="s">
        <v>26</v>
      </c>
      <c r="H916" s="1" t="s">
        <v>231</v>
      </c>
      <c r="I916">
        <v>1</v>
      </c>
      <c r="J916">
        <v>2496.54</v>
      </c>
      <c r="K916">
        <v>0.15</v>
      </c>
      <c r="L916">
        <v>524.26</v>
      </c>
      <c r="M916" s="1" t="s">
        <v>20</v>
      </c>
    </row>
    <row r="917" spans="1:13" x14ac:dyDescent="0.3">
      <c r="A917" s="1" t="s">
        <v>1675</v>
      </c>
      <c r="B917" s="2">
        <v>45802</v>
      </c>
      <c r="C917" s="1" t="s">
        <v>1676</v>
      </c>
      <c r="D917" s="1" t="s">
        <v>1677</v>
      </c>
      <c r="E917" s="1" t="s">
        <v>37</v>
      </c>
      <c r="F917" s="1" t="s">
        <v>25</v>
      </c>
      <c r="G917" s="1" t="s">
        <v>18</v>
      </c>
      <c r="H917" s="1" t="s">
        <v>19</v>
      </c>
      <c r="I917">
        <v>6</v>
      </c>
      <c r="J917">
        <v>8495.8700000000008</v>
      </c>
      <c r="K917">
        <v>0.25</v>
      </c>
      <c r="L917">
        <v>2346.87</v>
      </c>
      <c r="M917" s="1" t="s">
        <v>28</v>
      </c>
    </row>
    <row r="918" spans="1:13" x14ac:dyDescent="0.3">
      <c r="A918" s="1" t="s">
        <v>1678</v>
      </c>
      <c r="B918" s="2">
        <v>45670</v>
      </c>
      <c r="C918" s="1" t="s">
        <v>1501</v>
      </c>
      <c r="D918" s="1" t="s">
        <v>1502</v>
      </c>
      <c r="E918" s="1" t="s">
        <v>24</v>
      </c>
      <c r="F918" s="1" t="s">
        <v>25</v>
      </c>
      <c r="G918" s="1" t="s">
        <v>26</v>
      </c>
      <c r="H918" s="1" t="s">
        <v>231</v>
      </c>
      <c r="I918">
        <v>9</v>
      </c>
      <c r="J918">
        <v>22498.49</v>
      </c>
      <c r="K918">
        <v>0.15</v>
      </c>
      <c r="L918">
        <v>4891.59</v>
      </c>
      <c r="M918" s="1" t="s">
        <v>50</v>
      </c>
    </row>
    <row r="919" spans="1:13" x14ac:dyDescent="0.3">
      <c r="A919" s="1" t="s">
        <v>1679</v>
      </c>
      <c r="B919" s="2">
        <v>45869</v>
      </c>
      <c r="C919" s="1" t="s">
        <v>1421</v>
      </c>
      <c r="D919" s="1" t="s">
        <v>1422</v>
      </c>
      <c r="E919" s="1" t="s">
        <v>37</v>
      </c>
      <c r="F919" s="1" t="s">
        <v>69</v>
      </c>
      <c r="G919" s="1" t="s">
        <v>44</v>
      </c>
      <c r="H919" s="1" t="s">
        <v>70</v>
      </c>
      <c r="I919">
        <v>9</v>
      </c>
      <c r="J919">
        <v>78651.88</v>
      </c>
      <c r="K919">
        <v>0.1</v>
      </c>
      <c r="L919">
        <v>12200.15</v>
      </c>
      <c r="M919" s="1" t="s">
        <v>50</v>
      </c>
    </row>
    <row r="920" spans="1:13" x14ac:dyDescent="0.3">
      <c r="A920" s="1" t="s">
        <v>1680</v>
      </c>
      <c r="B920" s="2">
        <v>45682</v>
      </c>
      <c r="C920" s="1" t="s">
        <v>1063</v>
      </c>
      <c r="D920" s="1" t="s">
        <v>1064</v>
      </c>
      <c r="E920" s="1" t="s">
        <v>37</v>
      </c>
      <c r="F920" s="1" t="s">
        <v>25</v>
      </c>
      <c r="G920" s="1" t="s">
        <v>26</v>
      </c>
      <c r="H920" s="1" t="s">
        <v>49</v>
      </c>
      <c r="I920">
        <v>10</v>
      </c>
      <c r="J920">
        <v>19927.27</v>
      </c>
      <c r="K920">
        <v>0.2</v>
      </c>
      <c r="L920">
        <v>4574.51</v>
      </c>
      <c r="M920" s="1" t="s">
        <v>50</v>
      </c>
    </row>
    <row r="921" spans="1:13" x14ac:dyDescent="0.3">
      <c r="A921" s="1" t="s">
        <v>1681</v>
      </c>
      <c r="B921" s="2">
        <v>45725</v>
      </c>
      <c r="C921" s="1" t="s">
        <v>679</v>
      </c>
      <c r="D921" s="1" t="s">
        <v>680</v>
      </c>
      <c r="E921" s="1" t="s">
        <v>43</v>
      </c>
      <c r="F921" s="1" t="s">
        <v>25</v>
      </c>
      <c r="G921" s="1" t="s">
        <v>18</v>
      </c>
      <c r="H921" s="1" t="s">
        <v>19</v>
      </c>
      <c r="I921">
        <v>1</v>
      </c>
      <c r="J921">
        <v>1329.52</v>
      </c>
      <c r="K921">
        <v>0</v>
      </c>
      <c r="L921">
        <v>378.47</v>
      </c>
      <c r="M921" s="1" t="s">
        <v>50</v>
      </c>
    </row>
    <row r="922" spans="1:13" x14ac:dyDescent="0.3">
      <c r="A922" s="1" t="s">
        <v>1682</v>
      </c>
      <c r="B922" s="2">
        <v>45724</v>
      </c>
      <c r="C922" s="1" t="s">
        <v>1612</v>
      </c>
      <c r="D922" s="1" t="s">
        <v>1613</v>
      </c>
      <c r="E922" s="1" t="s">
        <v>74</v>
      </c>
      <c r="F922" s="1" t="s">
        <v>69</v>
      </c>
      <c r="G922" s="1" t="s">
        <v>32</v>
      </c>
      <c r="H922" s="1" t="s">
        <v>38</v>
      </c>
      <c r="I922">
        <v>10</v>
      </c>
      <c r="J922">
        <v>134632.62</v>
      </c>
      <c r="K922">
        <v>0.15</v>
      </c>
      <c r="L922">
        <v>25469.439999999999</v>
      </c>
      <c r="M922" s="1" t="s">
        <v>28</v>
      </c>
    </row>
    <row r="923" spans="1:13" x14ac:dyDescent="0.3">
      <c r="A923" s="1" t="s">
        <v>1683</v>
      </c>
      <c r="B923" s="2">
        <v>45890</v>
      </c>
      <c r="C923" s="1" t="s">
        <v>1292</v>
      </c>
      <c r="D923" s="1" t="s">
        <v>1293</v>
      </c>
      <c r="E923" s="1" t="s">
        <v>37</v>
      </c>
      <c r="F923" s="1" t="s">
        <v>69</v>
      </c>
      <c r="G923" s="1" t="s">
        <v>26</v>
      </c>
      <c r="H923" s="1" t="s">
        <v>27</v>
      </c>
      <c r="I923">
        <v>2</v>
      </c>
      <c r="J923">
        <v>3883.01</v>
      </c>
      <c r="K923">
        <v>0</v>
      </c>
      <c r="L923">
        <v>845.82</v>
      </c>
      <c r="M923" s="1" t="s">
        <v>39</v>
      </c>
    </row>
    <row r="924" spans="1:13" x14ac:dyDescent="0.3">
      <c r="A924" s="1" t="s">
        <v>1684</v>
      </c>
      <c r="B924" s="2">
        <v>45766</v>
      </c>
      <c r="C924" s="1" t="s">
        <v>1530</v>
      </c>
      <c r="D924" s="1" t="s">
        <v>1531</v>
      </c>
      <c r="E924" s="1" t="s">
        <v>37</v>
      </c>
      <c r="F924" s="1" t="s">
        <v>17</v>
      </c>
      <c r="G924" s="1" t="s">
        <v>44</v>
      </c>
      <c r="H924" s="1" t="s">
        <v>155</v>
      </c>
      <c r="I924">
        <v>10</v>
      </c>
      <c r="J924">
        <v>84467.43</v>
      </c>
      <c r="K924">
        <v>0</v>
      </c>
      <c r="L924">
        <v>15880.2</v>
      </c>
      <c r="M924" s="1" t="s">
        <v>50</v>
      </c>
    </row>
    <row r="925" spans="1:13" x14ac:dyDescent="0.3">
      <c r="A925" s="1" t="s">
        <v>1685</v>
      </c>
      <c r="B925" s="2">
        <v>45803</v>
      </c>
      <c r="C925" s="1" t="s">
        <v>1686</v>
      </c>
      <c r="D925" s="1" t="s">
        <v>1687</v>
      </c>
      <c r="E925" s="1" t="s">
        <v>24</v>
      </c>
      <c r="F925" s="1" t="s">
        <v>25</v>
      </c>
      <c r="G925" s="1" t="s">
        <v>32</v>
      </c>
      <c r="H925" s="1" t="s">
        <v>33</v>
      </c>
      <c r="I925">
        <v>4</v>
      </c>
      <c r="J925">
        <v>58146.76</v>
      </c>
      <c r="K925">
        <v>0</v>
      </c>
      <c r="L925">
        <v>13879.21</v>
      </c>
      <c r="M925" s="1" t="s">
        <v>28</v>
      </c>
    </row>
    <row r="926" spans="1:13" x14ac:dyDescent="0.3">
      <c r="A926" s="1" t="s">
        <v>1688</v>
      </c>
      <c r="B926" s="2">
        <v>45768</v>
      </c>
      <c r="C926" s="1" t="s">
        <v>1689</v>
      </c>
      <c r="D926" s="1" t="s">
        <v>1690</v>
      </c>
      <c r="E926" s="1" t="s">
        <v>24</v>
      </c>
      <c r="F926" s="1" t="s">
        <v>25</v>
      </c>
      <c r="G926" s="1" t="s">
        <v>18</v>
      </c>
      <c r="H926" s="1" t="s">
        <v>141</v>
      </c>
      <c r="I926">
        <v>5</v>
      </c>
      <c r="J926">
        <v>4622.67</v>
      </c>
      <c r="K926">
        <v>0.15</v>
      </c>
      <c r="L926">
        <v>1103.3699999999999</v>
      </c>
      <c r="M926" s="1" t="s">
        <v>50</v>
      </c>
    </row>
    <row r="927" spans="1:13" x14ac:dyDescent="0.3">
      <c r="A927" s="1" t="s">
        <v>1691</v>
      </c>
      <c r="B927" s="2">
        <v>45885</v>
      </c>
      <c r="C927" s="1" t="s">
        <v>1692</v>
      </c>
      <c r="D927" s="1" t="s">
        <v>1693</v>
      </c>
      <c r="E927" s="1" t="s">
        <v>74</v>
      </c>
      <c r="F927" s="1" t="s">
        <v>25</v>
      </c>
      <c r="G927" s="1" t="s">
        <v>32</v>
      </c>
      <c r="H927" s="1" t="s">
        <v>33</v>
      </c>
      <c r="I927">
        <v>3</v>
      </c>
      <c r="J927">
        <v>52673.24</v>
      </c>
      <c r="K927">
        <v>0.05</v>
      </c>
      <c r="L927">
        <v>13348.06</v>
      </c>
      <c r="M927" s="1" t="s">
        <v>28</v>
      </c>
    </row>
    <row r="928" spans="1:13" x14ac:dyDescent="0.3">
      <c r="A928" s="1" t="s">
        <v>1694</v>
      </c>
      <c r="B928" s="2">
        <v>45768</v>
      </c>
      <c r="C928" s="1" t="s">
        <v>1258</v>
      </c>
      <c r="D928" s="1" t="s">
        <v>1259</v>
      </c>
      <c r="E928" s="1" t="s">
        <v>74</v>
      </c>
      <c r="F928" s="1" t="s">
        <v>25</v>
      </c>
      <c r="G928" s="1" t="s">
        <v>32</v>
      </c>
      <c r="H928" s="1" t="s">
        <v>79</v>
      </c>
      <c r="I928">
        <v>9</v>
      </c>
      <c r="J928">
        <v>158864.15</v>
      </c>
      <c r="K928">
        <v>0.05</v>
      </c>
      <c r="L928">
        <v>40418.370000000003</v>
      </c>
      <c r="M928" s="1" t="s">
        <v>55</v>
      </c>
    </row>
    <row r="929" spans="1:13" x14ac:dyDescent="0.3">
      <c r="A929" s="1" t="s">
        <v>1695</v>
      </c>
      <c r="B929" s="2">
        <v>45691</v>
      </c>
      <c r="C929" s="1" t="s">
        <v>335</v>
      </c>
      <c r="D929" s="1" t="s">
        <v>336</v>
      </c>
      <c r="E929" s="1" t="s">
        <v>24</v>
      </c>
      <c r="F929" s="1" t="s">
        <v>69</v>
      </c>
      <c r="G929" s="1" t="s">
        <v>26</v>
      </c>
      <c r="H929" s="1" t="s">
        <v>27</v>
      </c>
      <c r="I929">
        <v>6</v>
      </c>
      <c r="J929">
        <v>23266.36</v>
      </c>
      <c r="K929">
        <v>0.05</v>
      </c>
      <c r="L929">
        <v>4655.38</v>
      </c>
      <c r="M929" s="1" t="s">
        <v>50</v>
      </c>
    </row>
    <row r="930" spans="1:13" x14ac:dyDescent="0.3">
      <c r="A930" s="1" t="s">
        <v>1696</v>
      </c>
      <c r="B930" s="2">
        <v>45768</v>
      </c>
      <c r="C930" s="1" t="s">
        <v>1132</v>
      </c>
      <c r="D930" s="1" t="s">
        <v>1133</v>
      </c>
      <c r="E930" s="1" t="s">
        <v>16</v>
      </c>
      <c r="F930" s="1" t="s">
        <v>25</v>
      </c>
      <c r="G930" s="1" t="s">
        <v>32</v>
      </c>
      <c r="H930" s="1" t="s">
        <v>79</v>
      </c>
      <c r="I930">
        <v>9</v>
      </c>
      <c r="J930">
        <v>133182.12</v>
      </c>
      <c r="K930">
        <v>0.05</v>
      </c>
      <c r="L930">
        <v>24650.89</v>
      </c>
      <c r="M930" s="1" t="s">
        <v>20</v>
      </c>
    </row>
    <row r="931" spans="1:13" x14ac:dyDescent="0.3">
      <c r="A931" s="1" t="s">
        <v>1697</v>
      </c>
      <c r="B931" s="2">
        <v>45921</v>
      </c>
      <c r="C931" s="1" t="s">
        <v>1116</v>
      </c>
      <c r="D931" s="1" t="s">
        <v>1117</v>
      </c>
      <c r="E931" s="1" t="s">
        <v>16</v>
      </c>
      <c r="F931" s="1" t="s">
        <v>17</v>
      </c>
      <c r="G931" s="1" t="s">
        <v>26</v>
      </c>
      <c r="H931" s="1" t="s">
        <v>231</v>
      </c>
      <c r="I931">
        <v>10</v>
      </c>
      <c r="J931">
        <v>23812.99</v>
      </c>
      <c r="K931">
        <v>0.2</v>
      </c>
      <c r="L931">
        <v>6341.75</v>
      </c>
      <c r="M931" s="1" t="s">
        <v>55</v>
      </c>
    </row>
    <row r="932" spans="1:13" x14ac:dyDescent="0.3">
      <c r="A932" s="1" t="s">
        <v>1698</v>
      </c>
      <c r="B932" s="2">
        <v>45893</v>
      </c>
      <c r="C932" s="1" t="s">
        <v>355</v>
      </c>
      <c r="D932" s="1" t="s">
        <v>356</v>
      </c>
      <c r="E932" s="1" t="s">
        <v>16</v>
      </c>
      <c r="F932" s="1" t="s">
        <v>69</v>
      </c>
      <c r="G932" s="1" t="s">
        <v>44</v>
      </c>
      <c r="H932" s="1" t="s">
        <v>45</v>
      </c>
      <c r="I932">
        <v>10</v>
      </c>
      <c r="J932">
        <v>97126.73</v>
      </c>
      <c r="K932">
        <v>0.25</v>
      </c>
      <c r="L932">
        <v>21618.36</v>
      </c>
      <c r="M932" s="1" t="s">
        <v>39</v>
      </c>
    </row>
    <row r="933" spans="1:13" x14ac:dyDescent="0.3">
      <c r="A933" s="1" t="s">
        <v>1699</v>
      </c>
      <c r="B933" s="2">
        <v>45740</v>
      </c>
      <c r="C933" s="1" t="s">
        <v>952</v>
      </c>
      <c r="D933" s="1" t="s">
        <v>953</v>
      </c>
      <c r="E933" s="1" t="s">
        <v>24</v>
      </c>
      <c r="F933" s="1" t="s">
        <v>25</v>
      </c>
      <c r="G933" s="1" t="s">
        <v>18</v>
      </c>
      <c r="H933" s="1" t="s">
        <v>145</v>
      </c>
      <c r="I933">
        <v>7</v>
      </c>
      <c r="J933">
        <v>9272.67</v>
      </c>
      <c r="K933">
        <v>0.15</v>
      </c>
      <c r="L933">
        <v>2731.28</v>
      </c>
      <c r="M933" s="1" t="s">
        <v>55</v>
      </c>
    </row>
    <row r="934" spans="1:13" x14ac:dyDescent="0.3">
      <c r="A934" s="1" t="s">
        <v>1700</v>
      </c>
      <c r="B934" s="2">
        <v>45699</v>
      </c>
      <c r="C934" s="1" t="s">
        <v>160</v>
      </c>
      <c r="D934" s="1" t="s">
        <v>161</v>
      </c>
      <c r="E934" s="1" t="s">
        <v>37</v>
      </c>
      <c r="F934" s="1" t="s">
        <v>69</v>
      </c>
      <c r="G934" s="1" t="s">
        <v>32</v>
      </c>
      <c r="H934" s="1" t="s">
        <v>79</v>
      </c>
      <c r="I934">
        <v>8</v>
      </c>
      <c r="J934">
        <v>79542</v>
      </c>
      <c r="K934">
        <v>0</v>
      </c>
      <c r="L934">
        <v>19511.509999999998</v>
      </c>
      <c r="M934" s="1" t="s">
        <v>28</v>
      </c>
    </row>
    <row r="935" spans="1:13" x14ac:dyDescent="0.3">
      <c r="A935" s="1" t="s">
        <v>1701</v>
      </c>
      <c r="B935" s="2">
        <v>45758</v>
      </c>
      <c r="C935" s="1" t="s">
        <v>859</v>
      </c>
      <c r="D935" s="1" t="s">
        <v>860</v>
      </c>
      <c r="E935" s="1" t="s">
        <v>16</v>
      </c>
      <c r="F935" s="1" t="s">
        <v>25</v>
      </c>
      <c r="G935" s="1" t="s">
        <v>32</v>
      </c>
      <c r="H935" s="1" t="s">
        <v>38</v>
      </c>
      <c r="I935">
        <v>4</v>
      </c>
      <c r="J935">
        <v>29907.22</v>
      </c>
      <c r="K935">
        <v>0.1</v>
      </c>
      <c r="L935">
        <v>5620.1</v>
      </c>
      <c r="M935" s="1" t="s">
        <v>50</v>
      </c>
    </row>
    <row r="936" spans="1:13" x14ac:dyDescent="0.3">
      <c r="A936" s="1" t="s">
        <v>1702</v>
      </c>
      <c r="B936" s="2">
        <v>45663</v>
      </c>
      <c r="C936" s="1" t="s">
        <v>346</v>
      </c>
      <c r="D936" s="1" t="s">
        <v>347</v>
      </c>
      <c r="E936" s="1" t="s">
        <v>74</v>
      </c>
      <c r="F936" s="1" t="s">
        <v>17</v>
      </c>
      <c r="G936" s="1" t="s">
        <v>18</v>
      </c>
      <c r="H936" s="1" t="s">
        <v>97</v>
      </c>
      <c r="I936">
        <v>8</v>
      </c>
      <c r="J936">
        <v>13055.97</v>
      </c>
      <c r="K936">
        <v>0.15</v>
      </c>
      <c r="L936">
        <v>3729.89</v>
      </c>
      <c r="M936" s="1" t="s">
        <v>39</v>
      </c>
    </row>
    <row r="937" spans="1:13" x14ac:dyDescent="0.3">
      <c r="A937" s="1" t="s">
        <v>1703</v>
      </c>
      <c r="B937" s="2">
        <v>45837</v>
      </c>
      <c r="C937" s="1" t="s">
        <v>498</v>
      </c>
      <c r="D937" s="1" t="s">
        <v>499</v>
      </c>
      <c r="E937" s="1" t="s">
        <v>74</v>
      </c>
      <c r="F937" s="1" t="s">
        <v>25</v>
      </c>
      <c r="G937" s="1" t="s">
        <v>18</v>
      </c>
      <c r="H937" s="1" t="s">
        <v>97</v>
      </c>
      <c r="I937">
        <v>2</v>
      </c>
      <c r="J937">
        <v>3819.54</v>
      </c>
      <c r="K937">
        <v>0.15</v>
      </c>
      <c r="L937">
        <v>950.69</v>
      </c>
      <c r="M937" s="1" t="s">
        <v>55</v>
      </c>
    </row>
    <row r="938" spans="1:13" x14ac:dyDescent="0.3">
      <c r="A938" s="1" t="s">
        <v>1704</v>
      </c>
      <c r="B938" s="2">
        <v>45939</v>
      </c>
      <c r="C938" s="1" t="s">
        <v>276</v>
      </c>
      <c r="D938" s="1" t="s">
        <v>277</v>
      </c>
      <c r="E938" s="1" t="s">
        <v>16</v>
      </c>
      <c r="F938" s="1" t="s">
        <v>25</v>
      </c>
      <c r="G938" s="1" t="s">
        <v>44</v>
      </c>
      <c r="H938" s="1" t="s">
        <v>90</v>
      </c>
      <c r="I938">
        <v>7</v>
      </c>
      <c r="J938">
        <v>87322.880000000005</v>
      </c>
      <c r="K938">
        <v>0.05</v>
      </c>
      <c r="L938">
        <v>14525.05</v>
      </c>
      <c r="M938" s="1" t="s">
        <v>55</v>
      </c>
    </row>
    <row r="939" spans="1:13" x14ac:dyDescent="0.3">
      <c r="A939" s="1" t="s">
        <v>1705</v>
      </c>
      <c r="B939" s="2">
        <v>45977</v>
      </c>
      <c r="C939" s="1" t="s">
        <v>1158</v>
      </c>
      <c r="D939" s="1" t="s">
        <v>1159</v>
      </c>
      <c r="E939" s="1" t="s">
        <v>43</v>
      </c>
      <c r="F939" s="1" t="s">
        <v>25</v>
      </c>
      <c r="G939" s="1" t="s">
        <v>26</v>
      </c>
      <c r="H939" s="1" t="s">
        <v>27</v>
      </c>
      <c r="I939">
        <v>7</v>
      </c>
      <c r="J939">
        <v>32216.720000000001</v>
      </c>
      <c r="K939">
        <v>0.05</v>
      </c>
      <c r="L939">
        <v>7175.89</v>
      </c>
      <c r="M939" s="1" t="s">
        <v>28</v>
      </c>
    </row>
    <row r="940" spans="1:13" x14ac:dyDescent="0.3">
      <c r="A940" s="1" t="s">
        <v>1706</v>
      </c>
      <c r="B940" s="2">
        <v>45883</v>
      </c>
      <c r="C940" s="1" t="s">
        <v>536</v>
      </c>
      <c r="D940" s="1" t="s">
        <v>537</v>
      </c>
      <c r="E940" s="1" t="s">
        <v>24</v>
      </c>
      <c r="F940" s="1" t="s">
        <v>69</v>
      </c>
      <c r="G940" s="1" t="s">
        <v>32</v>
      </c>
      <c r="H940" s="1" t="s">
        <v>54</v>
      </c>
      <c r="I940">
        <v>7</v>
      </c>
      <c r="J940">
        <v>60889.65</v>
      </c>
      <c r="K940">
        <v>0</v>
      </c>
      <c r="L940">
        <v>11632.28</v>
      </c>
      <c r="M940" s="1" t="s">
        <v>28</v>
      </c>
    </row>
    <row r="941" spans="1:13" x14ac:dyDescent="0.3">
      <c r="A941" s="1" t="s">
        <v>1707</v>
      </c>
      <c r="B941" s="2">
        <v>45972</v>
      </c>
      <c r="C941" s="1" t="s">
        <v>81</v>
      </c>
      <c r="D941" s="1" t="s">
        <v>82</v>
      </c>
      <c r="E941" s="1" t="s">
        <v>43</v>
      </c>
      <c r="F941" s="1" t="s">
        <v>25</v>
      </c>
      <c r="G941" s="1" t="s">
        <v>44</v>
      </c>
      <c r="H941" s="1" t="s">
        <v>155</v>
      </c>
      <c r="I941">
        <v>10</v>
      </c>
      <c r="J941">
        <v>130805.84</v>
      </c>
      <c r="K941">
        <v>0</v>
      </c>
      <c r="L941">
        <v>26212.73</v>
      </c>
      <c r="M941" s="1" t="s">
        <v>55</v>
      </c>
    </row>
    <row r="942" spans="1:13" x14ac:dyDescent="0.3">
      <c r="A942" s="1" t="s">
        <v>1708</v>
      </c>
      <c r="B942" s="2">
        <v>46022</v>
      </c>
      <c r="C942" s="1" t="s">
        <v>482</v>
      </c>
      <c r="D942" s="1" t="s">
        <v>483</v>
      </c>
      <c r="E942" s="1" t="s">
        <v>43</v>
      </c>
      <c r="F942" s="1" t="s">
        <v>69</v>
      </c>
      <c r="G942" s="1" t="s">
        <v>18</v>
      </c>
      <c r="H942" s="1" t="s">
        <v>97</v>
      </c>
      <c r="I942">
        <v>4</v>
      </c>
      <c r="J942">
        <v>6455.1</v>
      </c>
      <c r="K942">
        <v>0.15</v>
      </c>
      <c r="L942">
        <v>1863.47</v>
      </c>
      <c r="M942" s="1" t="s">
        <v>20</v>
      </c>
    </row>
    <row r="943" spans="1:13" x14ac:dyDescent="0.3">
      <c r="A943" s="1" t="s">
        <v>1709</v>
      </c>
      <c r="B943" s="2">
        <v>45886</v>
      </c>
      <c r="C943" s="1" t="s">
        <v>1710</v>
      </c>
      <c r="D943" s="1" t="s">
        <v>1711</v>
      </c>
      <c r="E943" s="1" t="s">
        <v>37</v>
      </c>
      <c r="F943" s="1" t="s">
        <v>69</v>
      </c>
      <c r="G943" s="1" t="s">
        <v>32</v>
      </c>
      <c r="H943" s="1" t="s">
        <v>38</v>
      </c>
      <c r="I943">
        <v>10</v>
      </c>
      <c r="J943">
        <v>131133.25</v>
      </c>
      <c r="K943">
        <v>0.2</v>
      </c>
      <c r="L943">
        <v>28799.17</v>
      </c>
      <c r="M943" s="1" t="s">
        <v>20</v>
      </c>
    </row>
    <row r="944" spans="1:13" x14ac:dyDescent="0.3">
      <c r="A944" s="1" t="s">
        <v>1712</v>
      </c>
      <c r="B944" s="2">
        <v>45946</v>
      </c>
      <c r="C944" s="1" t="s">
        <v>1357</v>
      </c>
      <c r="D944" s="1" t="s">
        <v>1358</v>
      </c>
      <c r="E944" s="1" t="s">
        <v>16</v>
      </c>
      <c r="F944" s="1" t="s">
        <v>25</v>
      </c>
      <c r="G944" s="1" t="s">
        <v>18</v>
      </c>
      <c r="H944" s="1" t="s">
        <v>19</v>
      </c>
      <c r="I944">
        <v>6</v>
      </c>
      <c r="J944">
        <v>8144.84</v>
      </c>
      <c r="K944">
        <v>0.15</v>
      </c>
      <c r="L944">
        <v>2478.33</v>
      </c>
      <c r="M944" s="1" t="s">
        <v>28</v>
      </c>
    </row>
    <row r="945" spans="1:13" x14ac:dyDescent="0.3">
      <c r="A945" s="1" t="s">
        <v>1713</v>
      </c>
      <c r="B945" s="2">
        <v>45807</v>
      </c>
      <c r="C945" s="1" t="s">
        <v>924</v>
      </c>
      <c r="D945" s="1" t="s">
        <v>925</v>
      </c>
      <c r="E945" s="1" t="s">
        <v>37</v>
      </c>
      <c r="F945" s="1" t="s">
        <v>25</v>
      </c>
      <c r="G945" s="1" t="s">
        <v>32</v>
      </c>
      <c r="H945" s="1" t="s">
        <v>59</v>
      </c>
      <c r="I945">
        <v>5</v>
      </c>
      <c r="J945">
        <v>44315.31</v>
      </c>
      <c r="K945">
        <v>0.1</v>
      </c>
      <c r="L945">
        <v>7837.17</v>
      </c>
      <c r="M945" s="1" t="s">
        <v>55</v>
      </c>
    </row>
    <row r="946" spans="1:13" x14ac:dyDescent="0.3">
      <c r="A946" s="1" t="s">
        <v>1714</v>
      </c>
      <c r="B946" s="2">
        <v>45934</v>
      </c>
      <c r="C946" s="1" t="s">
        <v>208</v>
      </c>
      <c r="D946" s="1" t="s">
        <v>209</v>
      </c>
      <c r="E946" s="1" t="s">
        <v>43</v>
      </c>
      <c r="F946" s="1" t="s">
        <v>25</v>
      </c>
      <c r="G946" s="1" t="s">
        <v>18</v>
      </c>
      <c r="H946" s="1" t="s">
        <v>145</v>
      </c>
      <c r="I946">
        <v>1</v>
      </c>
      <c r="J946">
        <v>2150.94</v>
      </c>
      <c r="K946">
        <v>0.05</v>
      </c>
      <c r="L946">
        <v>691.48</v>
      </c>
      <c r="M946" s="1" t="s">
        <v>28</v>
      </c>
    </row>
    <row r="947" spans="1:13" x14ac:dyDescent="0.3">
      <c r="A947" s="1" t="s">
        <v>1715</v>
      </c>
      <c r="B947" s="2">
        <v>45855</v>
      </c>
      <c r="C947" s="1" t="s">
        <v>808</v>
      </c>
      <c r="D947" s="1" t="s">
        <v>809</v>
      </c>
      <c r="E947" s="1" t="s">
        <v>16</v>
      </c>
      <c r="F947" s="1" t="s">
        <v>17</v>
      </c>
      <c r="G947" s="1" t="s">
        <v>32</v>
      </c>
      <c r="H947" s="1" t="s">
        <v>54</v>
      </c>
      <c r="I947">
        <v>7</v>
      </c>
      <c r="J947">
        <v>124562.3</v>
      </c>
      <c r="K947">
        <v>0.05</v>
      </c>
      <c r="L947">
        <v>27281.91</v>
      </c>
      <c r="M947" s="1" t="s">
        <v>55</v>
      </c>
    </row>
    <row r="948" spans="1:13" x14ac:dyDescent="0.3">
      <c r="A948" s="1" t="s">
        <v>1716</v>
      </c>
      <c r="B948" s="2">
        <v>45727</v>
      </c>
      <c r="C948" s="1" t="s">
        <v>202</v>
      </c>
      <c r="D948" s="1" t="s">
        <v>203</v>
      </c>
      <c r="E948" s="1" t="s">
        <v>43</v>
      </c>
      <c r="F948" s="1" t="s">
        <v>25</v>
      </c>
      <c r="G948" s="1" t="s">
        <v>26</v>
      </c>
      <c r="H948" s="1" t="s">
        <v>86</v>
      </c>
      <c r="I948">
        <v>8</v>
      </c>
      <c r="J948">
        <v>30393.02</v>
      </c>
      <c r="K948">
        <v>0.05</v>
      </c>
      <c r="L948">
        <v>8824.33</v>
      </c>
      <c r="M948" s="1" t="s">
        <v>28</v>
      </c>
    </row>
    <row r="949" spans="1:13" x14ac:dyDescent="0.3">
      <c r="A949" s="1" t="s">
        <v>1717</v>
      </c>
      <c r="B949" s="2">
        <v>45769</v>
      </c>
      <c r="C949" s="1" t="s">
        <v>1158</v>
      </c>
      <c r="D949" s="1" t="s">
        <v>1159</v>
      </c>
      <c r="E949" s="1" t="s">
        <v>43</v>
      </c>
      <c r="F949" s="1" t="s">
        <v>69</v>
      </c>
      <c r="G949" s="1" t="s">
        <v>26</v>
      </c>
      <c r="H949" s="1" t="s">
        <v>49</v>
      </c>
      <c r="I949">
        <v>9</v>
      </c>
      <c r="J949">
        <v>38139.56</v>
      </c>
      <c r="K949">
        <v>0.1</v>
      </c>
      <c r="L949">
        <v>8691.07</v>
      </c>
      <c r="M949" s="1" t="s">
        <v>55</v>
      </c>
    </row>
    <row r="950" spans="1:13" x14ac:dyDescent="0.3">
      <c r="A950" s="1" t="s">
        <v>1718</v>
      </c>
      <c r="B950" s="2">
        <v>45661</v>
      </c>
      <c r="C950" s="1" t="s">
        <v>261</v>
      </c>
      <c r="D950" s="1" t="s">
        <v>262</v>
      </c>
      <c r="E950" s="1" t="s">
        <v>37</v>
      </c>
      <c r="F950" s="1" t="s">
        <v>69</v>
      </c>
      <c r="G950" s="1" t="s">
        <v>26</v>
      </c>
      <c r="H950" s="1" t="s">
        <v>244</v>
      </c>
      <c r="I950">
        <v>6</v>
      </c>
      <c r="J950">
        <v>11283</v>
      </c>
      <c r="K950">
        <v>0.25</v>
      </c>
      <c r="L950">
        <v>3335.9</v>
      </c>
      <c r="M950" s="1" t="s">
        <v>20</v>
      </c>
    </row>
    <row r="951" spans="1:13" x14ac:dyDescent="0.3">
      <c r="A951" s="1" t="s">
        <v>1719</v>
      </c>
      <c r="B951" s="2">
        <v>46007</v>
      </c>
      <c r="C951" s="1" t="s">
        <v>689</v>
      </c>
      <c r="D951" s="1" t="s">
        <v>690</v>
      </c>
      <c r="E951" s="1" t="s">
        <v>43</v>
      </c>
      <c r="F951" s="1" t="s">
        <v>17</v>
      </c>
      <c r="G951" s="1" t="s">
        <v>44</v>
      </c>
      <c r="H951" s="1" t="s">
        <v>155</v>
      </c>
      <c r="I951">
        <v>3</v>
      </c>
      <c r="J951">
        <v>30798.46</v>
      </c>
      <c r="K951">
        <v>0.2</v>
      </c>
      <c r="L951">
        <v>5860.96</v>
      </c>
      <c r="M951" s="1" t="s">
        <v>20</v>
      </c>
    </row>
    <row r="952" spans="1:13" x14ac:dyDescent="0.3">
      <c r="A952" s="1" t="s">
        <v>1720</v>
      </c>
      <c r="B952" s="2">
        <v>45988</v>
      </c>
      <c r="C952" s="1" t="s">
        <v>1044</v>
      </c>
      <c r="D952" s="1" t="s">
        <v>1045</v>
      </c>
      <c r="E952" s="1" t="s">
        <v>16</v>
      </c>
      <c r="F952" s="1" t="s">
        <v>25</v>
      </c>
      <c r="G952" s="1" t="s">
        <v>44</v>
      </c>
      <c r="H952" s="1" t="s">
        <v>90</v>
      </c>
      <c r="I952">
        <v>7</v>
      </c>
      <c r="J952">
        <v>52364.06</v>
      </c>
      <c r="K952">
        <v>0.15</v>
      </c>
      <c r="L952">
        <v>10904.27</v>
      </c>
      <c r="M952" s="1" t="s">
        <v>55</v>
      </c>
    </row>
    <row r="953" spans="1:13" x14ac:dyDescent="0.3">
      <c r="A953" s="1" t="s">
        <v>1721</v>
      </c>
      <c r="B953" s="2">
        <v>45975</v>
      </c>
      <c r="C953" s="1" t="s">
        <v>242</v>
      </c>
      <c r="D953" s="1" t="s">
        <v>243</v>
      </c>
      <c r="E953" s="1" t="s">
        <v>16</v>
      </c>
      <c r="F953" s="1" t="s">
        <v>25</v>
      </c>
      <c r="G953" s="1" t="s">
        <v>44</v>
      </c>
      <c r="H953" s="1" t="s">
        <v>45</v>
      </c>
      <c r="I953">
        <v>10</v>
      </c>
      <c r="J953">
        <v>94932.07</v>
      </c>
      <c r="K953">
        <v>0.2</v>
      </c>
      <c r="L953">
        <v>15885.73</v>
      </c>
      <c r="M953" s="1" t="s">
        <v>39</v>
      </c>
    </row>
    <row r="954" spans="1:13" x14ac:dyDescent="0.3">
      <c r="A954" s="1" t="s">
        <v>1722</v>
      </c>
      <c r="B954" s="2">
        <v>46007</v>
      </c>
      <c r="C954" s="1" t="s">
        <v>1655</v>
      </c>
      <c r="D954" s="1" t="s">
        <v>1656</v>
      </c>
      <c r="E954" s="1" t="s">
        <v>24</v>
      </c>
      <c r="F954" s="1" t="s">
        <v>25</v>
      </c>
      <c r="G954" s="1" t="s">
        <v>26</v>
      </c>
      <c r="H954" s="1" t="s">
        <v>231</v>
      </c>
      <c r="I954">
        <v>10</v>
      </c>
      <c r="J954">
        <v>40907.4</v>
      </c>
      <c r="K954">
        <v>0.1</v>
      </c>
      <c r="L954">
        <v>10636.96</v>
      </c>
      <c r="M954" s="1" t="s">
        <v>28</v>
      </c>
    </row>
    <row r="955" spans="1:13" x14ac:dyDescent="0.3">
      <c r="A955" s="1" t="s">
        <v>1723</v>
      </c>
      <c r="B955" s="2">
        <v>45752</v>
      </c>
      <c r="C955" s="1" t="s">
        <v>1129</v>
      </c>
      <c r="D955" s="1" t="s">
        <v>1130</v>
      </c>
      <c r="E955" s="1" t="s">
        <v>74</v>
      </c>
      <c r="F955" s="1" t="s">
        <v>69</v>
      </c>
      <c r="G955" s="1" t="s">
        <v>32</v>
      </c>
      <c r="H955" s="1" t="s">
        <v>38</v>
      </c>
      <c r="I955">
        <v>3</v>
      </c>
      <c r="J955">
        <v>35889.870000000003</v>
      </c>
      <c r="K955">
        <v>0.15</v>
      </c>
      <c r="L955">
        <v>7493.63</v>
      </c>
      <c r="M955" s="1" t="s">
        <v>28</v>
      </c>
    </row>
    <row r="956" spans="1:13" x14ac:dyDescent="0.3">
      <c r="A956" s="1" t="s">
        <v>1724</v>
      </c>
      <c r="B956" s="2">
        <v>45809</v>
      </c>
      <c r="C956" s="1" t="s">
        <v>527</v>
      </c>
      <c r="D956" s="1" t="s">
        <v>528</v>
      </c>
      <c r="E956" s="1" t="s">
        <v>37</v>
      </c>
      <c r="F956" s="1" t="s">
        <v>25</v>
      </c>
      <c r="G956" s="1" t="s">
        <v>18</v>
      </c>
      <c r="H956" s="1" t="s">
        <v>97</v>
      </c>
      <c r="I956">
        <v>7</v>
      </c>
      <c r="J956">
        <v>11640.39</v>
      </c>
      <c r="K956">
        <v>0.1</v>
      </c>
      <c r="L956">
        <v>3517.32</v>
      </c>
      <c r="M956" s="1" t="s">
        <v>28</v>
      </c>
    </row>
    <row r="957" spans="1:13" x14ac:dyDescent="0.3">
      <c r="A957" s="1" t="s">
        <v>1725</v>
      </c>
      <c r="B957" s="2">
        <v>45968</v>
      </c>
      <c r="C957" s="1" t="s">
        <v>1726</v>
      </c>
      <c r="D957" s="1" t="s">
        <v>1727</v>
      </c>
      <c r="E957" s="1" t="s">
        <v>43</v>
      </c>
      <c r="F957" s="1" t="s">
        <v>17</v>
      </c>
      <c r="G957" s="1" t="s">
        <v>26</v>
      </c>
      <c r="H957" s="1" t="s">
        <v>86</v>
      </c>
      <c r="I957">
        <v>2</v>
      </c>
      <c r="J957">
        <v>5853.03</v>
      </c>
      <c r="K957">
        <v>0.05</v>
      </c>
      <c r="L957">
        <v>1176.5</v>
      </c>
      <c r="M957" s="1" t="s">
        <v>28</v>
      </c>
    </row>
    <row r="958" spans="1:13" x14ac:dyDescent="0.3">
      <c r="A958" s="1" t="s">
        <v>1728</v>
      </c>
      <c r="B958" s="2">
        <v>45794</v>
      </c>
      <c r="C958" s="1" t="s">
        <v>1054</v>
      </c>
      <c r="D958" s="1" t="s">
        <v>1055</v>
      </c>
      <c r="E958" s="1" t="s">
        <v>74</v>
      </c>
      <c r="F958" s="1" t="s">
        <v>25</v>
      </c>
      <c r="G958" s="1" t="s">
        <v>32</v>
      </c>
      <c r="H958" s="1" t="s">
        <v>54</v>
      </c>
      <c r="I958">
        <v>10</v>
      </c>
      <c r="J958">
        <v>146568.42000000001</v>
      </c>
      <c r="K958">
        <v>0.05</v>
      </c>
      <c r="L958">
        <v>35814.03</v>
      </c>
      <c r="M958" s="1" t="s">
        <v>55</v>
      </c>
    </row>
    <row r="959" spans="1:13" x14ac:dyDescent="0.3">
      <c r="A959" s="1" t="s">
        <v>1729</v>
      </c>
      <c r="B959" s="2">
        <v>45904</v>
      </c>
      <c r="C959" s="1" t="s">
        <v>1000</v>
      </c>
      <c r="D959" s="1" t="s">
        <v>1001</v>
      </c>
      <c r="E959" s="1" t="s">
        <v>16</v>
      </c>
      <c r="F959" s="1" t="s">
        <v>25</v>
      </c>
      <c r="G959" s="1" t="s">
        <v>26</v>
      </c>
      <c r="H959" s="1" t="s">
        <v>49</v>
      </c>
      <c r="I959">
        <v>8</v>
      </c>
      <c r="J959">
        <v>31105.25</v>
      </c>
      <c r="K959">
        <v>0.1</v>
      </c>
      <c r="L959">
        <v>6757.96</v>
      </c>
      <c r="M959" s="1" t="s">
        <v>28</v>
      </c>
    </row>
    <row r="960" spans="1:13" x14ac:dyDescent="0.3">
      <c r="A960" s="1" t="s">
        <v>1730</v>
      </c>
      <c r="B960" s="2">
        <v>45900</v>
      </c>
      <c r="C960" s="1" t="s">
        <v>1316</v>
      </c>
      <c r="D960" s="1" t="s">
        <v>1317</v>
      </c>
      <c r="E960" s="1" t="s">
        <v>43</v>
      </c>
      <c r="F960" s="1" t="s">
        <v>69</v>
      </c>
      <c r="G960" s="1" t="s">
        <v>18</v>
      </c>
      <c r="H960" s="1" t="s">
        <v>97</v>
      </c>
      <c r="I960">
        <v>6</v>
      </c>
      <c r="J960">
        <v>14463.17</v>
      </c>
      <c r="K960">
        <v>0.05</v>
      </c>
      <c r="L960">
        <v>3654.02</v>
      </c>
      <c r="M960" s="1" t="s">
        <v>55</v>
      </c>
    </row>
    <row r="961" spans="1:13" x14ac:dyDescent="0.3">
      <c r="A961" s="1" t="s">
        <v>1731</v>
      </c>
      <c r="B961" s="2">
        <v>45688</v>
      </c>
      <c r="C961" s="1" t="s">
        <v>424</v>
      </c>
      <c r="D961" s="1" t="s">
        <v>425</v>
      </c>
      <c r="E961" s="1" t="s">
        <v>16</v>
      </c>
      <c r="F961" s="1" t="s">
        <v>25</v>
      </c>
      <c r="G961" s="1" t="s">
        <v>18</v>
      </c>
      <c r="H961" s="1" t="s">
        <v>145</v>
      </c>
      <c r="I961">
        <v>9</v>
      </c>
      <c r="J961">
        <v>17466.7</v>
      </c>
      <c r="K961">
        <v>0.15</v>
      </c>
      <c r="L961">
        <v>4824.88</v>
      </c>
      <c r="M961" s="1" t="s">
        <v>50</v>
      </c>
    </row>
    <row r="962" spans="1:13" x14ac:dyDescent="0.3">
      <c r="A962" s="1" t="s">
        <v>1732</v>
      </c>
      <c r="B962" s="2">
        <v>45697</v>
      </c>
      <c r="C962" s="1" t="s">
        <v>1082</v>
      </c>
      <c r="D962" s="1" t="s">
        <v>1083</v>
      </c>
      <c r="E962" s="1" t="s">
        <v>24</v>
      </c>
      <c r="F962" s="1" t="s">
        <v>25</v>
      </c>
      <c r="G962" s="1" t="s">
        <v>44</v>
      </c>
      <c r="H962" s="1" t="s">
        <v>45</v>
      </c>
      <c r="I962">
        <v>10</v>
      </c>
      <c r="J962">
        <v>66438.89</v>
      </c>
      <c r="K962">
        <v>0.05</v>
      </c>
      <c r="L962">
        <v>9556.43</v>
      </c>
      <c r="M962" s="1" t="s">
        <v>50</v>
      </c>
    </row>
    <row r="963" spans="1:13" x14ac:dyDescent="0.3">
      <c r="A963" s="1" t="s">
        <v>1733</v>
      </c>
      <c r="B963" s="2">
        <v>45886</v>
      </c>
      <c r="C963" s="1" t="s">
        <v>127</v>
      </c>
      <c r="D963" s="1" t="s">
        <v>128</v>
      </c>
      <c r="E963" s="1" t="s">
        <v>37</v>
      </c>
      <c r="F963" s="1" t="s">
        <v>25</v>
      </c>
      <c r="G963" s="1" t="s">
        <v>18</v>
      </c>
      <c r="H963" s="1" t="s">
        <v>145</v>
      </c>
      <c r="I963">
        <v>5</v>
      </c>
      <c r="J963">
        <v>9492.9</v>
      </c>
      <c r="K963">
        <v>0.1</v>
      </c>
      <c r="L963">
        <v>2912.62</v>
      </c>
      <c r="M963" s="1" t="s">
        <v>55</v>
      </c>
    </row>
    <row r="964" spans="1:13" x14ac:dyDescent="0.3">
      <c r="A964" s="1" t="s">
        <v>1734</v>
      </c>
      <c r="B964" s="2">
        <v>45693</v>
      </c>
      <c r="C964" s="1" t="s">
        <v>434</v>
      </c>
      <c r="D964" s="1" t="s">
        <v>435</v>
      </c>
      <c r="E964" s="1" t="s">
        <v>43</v>
      </c>
      <c r="F964" s="1" t="s">
        <v>25</v>
      </c>
      <c r="G964" s="1" t="s">
        <v>18</v>
      </c>
      <c r="H964" s="1" t="s">
        <v>141</v>
      </c>
      <c r="I964">
        <v>6</v>
      </c>
      <c r="J964">
        <v>11202.53</v>
      </c>
      <c r="K964">
        <v>0.15</v>
      </c>
      <c r="L964">
        <v>3619.56</v>
      </c>
      <c r="M964" s="1" t="s">
        <v>20</v>
      </c>
    </row>
    <row r="965" spans="1:13" x14ac:dyDescent="0.3">
      <c r="A965" s="1" t="s">
        <v>1735</v>
      </c>
      <c r="B965" s="2">
        <v>45880</v>
      </c>
      <c r="C965" s="1" t="s">
        <v>1597</v>
      </c>
      <c r="D965" s="1" t="s">
        <v>1598</v>
      </c>
      <c r="E965" s="1" t="s">
        <v>37</v>
      </c>
      <c r="F965" s="1" t="s">
        <v>69</v>
      </c>
      <c r="G965" s="1" t="s">
        <v>44</v>
      </c>
      <c r="H965" s="1" t="s">
        <v>155</v>
      </c>
      <c r="I965">
        <v>4</v>
      </c>
      <c r="J965">
        <v>55423.25</v>
      </c>
      <c r="K965">
        <v>0.05</v>
      </c>
      <c r="L965">
        <v>7646.5</v>
      </c>
      <c r="M965" s="1" t="s">
        <v>28</v>
      </c>
    </row>
    <row r="966" spans="1:13" x14ac:dyDescent="0.3">
      <c r="A966" s="1" t="s">
        <v>1736</v>
      </c>
      <c r="B966" s="2">
        <v>45663</v>
      </c>
      <c r="C966" s="1" t="s">
        <v>469</v>
      </c>
      <c r="D966" s="1" t="s">
        <v>470</v>
      </c>
      <c r="E966" s="1" t="s">
        <v>24</v>
      </c>
      <c r="F966" s="1" t="s">
        <v>25</v>
      </c>
      <c r="G966" s="1" t="s">
        <v>44</v>
      </c>
      <c r="H966" s="1" t="s">
        <v>45</v>
      </c>
      <c r="I966">
        <v>7</v>
      </c>
      <c r="J966">
        <v>79665.789999999994</v>
      </c>
      <c r="K966">
        <v>0.2</v>
      </c>
      <c r="L966">
        <v>12065.83</v>
      </c>
      <c r="M966" s="1" t="s">
        <v>50</v>
      </c>
    </row>
    <row r="967" spans="1:13" x14ac:dyDescent="0.3">
      <c r="A967" s="1" t="s">
        <v>1737</v>
      </c>
      <c r="B967" s="2">
        <v>45979</v>
      </c>
      <c r="C967" s="1" t="s">
        <v>719</v>
      </c>
      <c r="D967" s="1" t="s">
        <v>720</v>
      </c>
      <c r="E967" s="1" t="s">
        <v>24</v>
      </c>
      <c r="F967" s="1" t="s">
        <v>25</v>
      </c>
      <c r="G967" s="1" t="s">
        <v>44</v>
      </c>
      <c r="H967" s="1" t="s">
        <v>75</v>
      </c>
      <c r="I967">
        <v>2</v>
      </c>
      <c r="J967">
        <v>12408.21</v>
      </c>
      <c r="K967">
        <v>0.1</v>
      </c>
      <c r="L967">
        <v>2598.08</v>
      </c>
      <c r="M967" s="1" t="s">
        <v>55</v>
      </c>
    </row>
    <row r="968" spans="1:13" x14ac:dyDescent="0.3">
      <c r="A968" s="1" t="s">
        <v>1738</v>
      </c>
      <c r="B968" s="2">
        <v>45877</v>
      </c>
      <c r="C968" s="1" t="s">
        <v>434</v>
      </c>
      <c r="D968" s="1" t="s">
        <v>435</v>
      </c>
      <c r="E968" s="1" t="s">
        <v>16</v>
      </c>
      <c r="F968" s="1" t="s">
        <v>25</v>
      </c>
      <c r="G968" s="1" t="s">
        <v>18</v>
      </c>
      <c r="H968" s="1" t="s">
        <v>122</v>
      </c>
      <c r="I968">
        <v>1</v>
      </c>
      <c r="J968">
        <v>2620.7800000000002</v>
      </c>
      <c r="K968">
        <v>0</v>
      </c>
      <c r="L968">
        <v>715.91</v>
      </c>
      <c r="M968" s="1" t="s">
        <v>28</v>
      </c>
    </row>
    <row r="969" spans="1:13" x14ac:dyDescent="0.3">
      <c r="A969" s="1" t="s">
        <v>1739</v>
      </c>
      <c r="B969" s="2">
        <v>45732</v>
      </c>
      <c r="C969" s="1" t="s">
        <v>1089</v>
      </c>
      <c r="D969" s="1" t="s">
        <v>1090</v>
      </c>
      <c r="E969" s="1" t="s">
        <v>24</v>
      </c>
      <c r="F969" s="1" t="s">
        <v>25</v>
      </c>
      <c r="G969" s="1" t="s">
        <v>32</v>
      </c>
      <c r="H969" s="1" t="s">
        <v>33</v>
      </c>
      <c r="I969">
        <v>1</v>
      </c>
      <c r="J969">
        <v>7482.94</v>
      </c>
      <c r="K969">
        <v>0.15</v>
      </c>
      <c r="L969">
        <v>1709.53</v>
      </c>
      <c r="M969" s="1" t="s">
        <v>28</v>
      </c>
    </row>
    <row r="970" spans="1:13" x14ac:dyDescent="0.3">
      <c r="A970" s="1" t="s">
        <v>1740</v>
      </c>
      <c r="B970" s="2">
        <v>45661</v>
      </c>
      <c r="C970" s="1" t="s">
        <v>124</v>
      </c>
      <c r="D970" s="1" t="s">
        <v>125</v>
      </c>
      <c r="E970" s="1" t="s">
        <v>16</v>
      </c>
      <c r="F970" s="1" t="s">
        <v>17</v>
      </c>
      <c r="G970" s="1" t="s">
        <v>18</v>
      </c>
      <c r="H970" s="1" t="s">
        <v>122</v>
      </c>
      <c r="I970">
        <v>9</v>
      </c>
      <c r="J970">
        <v>13503.81</v>
      </c>
      <c r="K970">
        <v>0.05</v>
      </c>
      <c r="L970">
        <v>3425.82</v>
      </c>
      <c r="M970" s="1" t="s">
        <v>20</v>
      </c>
    </row>
    <row r="971" spans="1:13" x14ac:dyDescent="0.3">
      <c r="A971" s="1" t="s">
        <v>1741</v>
      </c>
      <c r="B971" s="2">
        <v>45992</v>
      </c>
      <c r="C971" s="1" t="s">
        <v>306</v>
      </c>
      <c r="D971" s="1" t="s">
        <v>307</v>
      </c>
      <c r="E971" s="1" t="s">
        <v>43</v>
      </c>
      <c r="F971" s="1" t="s">
        <v>69</v>
      </c>
      <c r="G971" s="1" t="s">
        <v>26</v>
      </c>
      <c r="H971" s="1" t="s">
        <v>27</v>
      </c>
      <c r="I971">
        <v>3</v>
      </c>
      <c r="J971">
        <v>10516.65</v>
      </c>
      <c r="K971">
        <v>0.15</v>
      </c>
      <c r="L971">
        <v>3140.67</v>
      </c>
      <c r="M971" s="1" t="s">
        <v>55</v>
      </c>
    </row>
    <row r="972" spans="1:13" x14ac:dyDescent="0.3">
      <c r="A972" s="1" t="s">
        <v>1742</v>
      </c>
      <c r="B972" s="2">
        <v>45791</v>
      </c>
      <c r="C972" s="1" t="s">
        <v>952</v>
      </c>
      <c r="D972" s="1" t="s">
        <v>953</v>
      </c>
      <c r="E972" s="1" t="s">
        <v>43</v>
      </c>
      <c r="F972" s="1" t="s">
        <v>25</v>
      </c>
      <c r="G972" s="1" t="s">
        <v>32</v>
      </c>
      <c r="H972" s="1" t="s">
        <v>79</v>
      </c>
      <c r="I972">
        <v>5</v>
      </c>
      <c r="J972">
        <v>74184.33</v>
      </c>
      <c r="K972">
        <v>0.15</v>
      </c>
      <c r="L972">
        <v>16026.68</v>
      </c>
      <c r="M972" s="1" t="s">
        <v>55</v>
      </c>
    </row>
    <row r="973" spans="1:13" x14ac:dyDescent="0.3">
      <c r="A973" s="1" t="s">
        <v>1743</v>
      </c>
      <c r="B973" s="2">
        <v>45775</v>
      </c>
      <c r="C973" s="1" t="s">
        <v>637</v>
      </c>
      <c r="D973" s="1" t="s">
        <v>638</v>
      </c>
      <c r="E973" s="1" t="s">
        <v>37</v>
      </c>
      <c r="F973" s="1" t="s">
        <v>17</v>
      </c>
      <c r="G973" s="1" t="s">
        <v>18</v>
      </c>
      <c r="H973" s="1" t="s">
        <v>145</v>
      </c>
      <c r="I973">
        <v>4</v>
      </c>
      <c r="J973">
        <v>8764.86</v>
      </c>
      <c r="K973">
        <v>0.15</v>
      </c>
      <c r="L973">
        <v>2364.7600000000002</v>
      </c>
      <c r="M973" s="1" t="s">
        <v>55</v>
      </c>
    </row>
    <row r="974" spans="1:13" x14ac:dyDescent="0.3">
      <c r="A974" s="1" t="s">
        <v>1744</v>
      </c>
      <c r="B974" s="2">
        <v>45751</v>
      </c>
      <c r="C974" s="1" t="s">
        <v>30</v>
      </c>
      <c r="D974" s="1" t="s">
        <v>31</v>
      </c>
      <c r="E974" s="1" t="s">
        <v>74</v>
      </c>
      <c r="F974" s="1" t="s">
        <v>69</v>
      </c>
      <c r="G974" s="1" t="s">
        <v>32</v>
      </c>
      <c r="H974" s="1" t="s">
        <v>38</v>
      </c>
      <c r="I974">
        <v>4</v>
      </c>
      <c r="J974">
        <v>25309.759999999998</v>
      </c>
      <c r="K974">
        <v>0.2</v>
      </c>
      <c r="L974">
        <v>4922.63</v>
      </c>
      <c r="M974" s="1" t="s">
        <v>50</v>
      </c>
    </row>
    <row r="975" spans="1:13" x14ac:dyDescent="0.3">
      <c r="A975" s="1" t="s">
        <v>1745</v>
      </c>
      <c r="B975" s="2">
        <v>45719</v>
      </c>
      <c r="C975" s="1" t="s">
        <v>550</v>
      </c>
      <c r="D975" s="1" t="s">
        <v>551</v>
      </c>
      <c r="E975" s="1" t="s">
        <v>16</v>
      </c>
      <c r="F975" s="1" t="s">
        <v>17</v>
      </c>
      <c r="G975" s="1" t="s">
        <v>26</v>
      </c>
      <c r="H975" s="1" t="s">
        <v>231</v>
      </c>
      <c r="I975">
        <v>10</v>
      </c>
      <c r="J975">
        <v>40327.79</v>
      </c>
      <c r="K975">
        <v>0</v>
      </c>
      <c r="L975">
        <v>9706.1299999999992</v>
      </c>
      <c r="M975" s="1" t="s">
        <v>20</v>
      </c>
    </row>
    <row r="976" spans="1:13" x14ac:dyDescent="0.3">
      <c r="A976" s="1" t="s">
        <v>1746</v>
      </c>
      <c r="B976" s="2">
        <v>45851</v>
      </c>
      <c r="C976" s="1" t="s">
        <v>972</v>
      </c>
      <c r="D976" s="1" t="s">
        <v>973</v>
      </c>
      <c r="E976" s="1" t="s">
        <v>24</v>
      </c>
      <c r="F976" s="1" t="s">
        <v>25</v>
      </c>
      <c r="G976" s="1" t="s">
        <v>18</v>
      </c>
      <c r="H976" s="1" t="s">
        <v>19</v>
      </c>
      <c r="I976">
        <v>6</v>
      </c>
      <c r="J976">
        <v>9892.0300000000007</v>
      </c>
      <c r="K976">
        <v>0.15</v>
      </c>
      <c r="L976">
        <v>3104.62</v>
      </c>
      <c r="M976" s="1" t="s">
        <v>39</v>
      </c>
    </row>
    <row r="977" spans="1:13" x14ac:dyDescent="0.3">
      <c r="A977" s="1" t="s">
        <v>1747</v>
      </c>
      <c r="B977" s="2">
        <v>45992</v>
      </c>
      <c r="C977" s="1" t="s">
        <v>1748</v>
      </c>
      <c r="D977" s="1" t="s">
        <v>1749</v>
      </c>
      <c r="E977" s="1" t="s">
        <v>74</v>
      </c>
      <c r="F977" s="1" t="s">
        <v>25</v>
      </c>
      <c r="G977" s="1" t="s">
        <v>26</v>
      </c>
      <c r="H977" s="1" t="s">
        <v>27</v>
      </c>
      <c r="I977">
        <v>5</v>
      </c>
      <c r="J977">
        <v>12464.31</v>
      </c>
      <c r="K977">
        <v>0.15</v>
      </c>
      <c r="L977">
        <v>3322.37</v>
      </c>
      <c r="M977" s="1" t="s">
        <v>39</v>
      </c>
    </row>
    <row r="978" spans="1:13" x14ac:dyDescent="0.3">
      <c r="A978" s="1" t="s">
        <v>1750</v>
      </c>
      <c r="B978" s="2">
        <v>45860</v>
      </c>
      <c r="C978" s="1" t="s">
        <v>1238</v>
      </c>
      <c r="D978" s="1" t="s">
        <v>1239</v>
      </c>
      <c r="E978" s="1" t="s">
        <v>74</v>
      </c>
      <c r="F978" s="1" t="s">
        <v>25</v>
      </c>
      <c r="G978" s="1" t="s">
        <v>44</v>
      </c>
      <c r="H978" s="1" t="s">
        <v>45</v>
      </c>
      <c r="I978">
        <v>8</v>
      </c>
      <c r="J978">
        <v>95191.94</v>
      </c>
      <c r="K978">
        <v>0.05</v>
      </c>
      <c r="L978">
        <v>19154.41</v>
      </c>
      <c r="M978" s="1" t="s">
        <v>50</v>
      </c>
    </row>
    <row r="979" spans="1:13" x14ac:dyDescent="0.3">
      <c r="A979" s="1" t="s">
        <v>1751</v>
      </c>
      <c r="B979" s="2">
        <v>45683</v>
      </c>
      <c r="C979" s="1" t="s">
        <v>875</v>
      </c>
      <c r="D979" s="1" t="s">
        <v>876</v>
      </c>
      <c r="E979" s="1" t="s">
        <v>43</v>
      </c>
      <c r="F979" s="1" t="s">
        <v>25</v>
      </c>
      <c r="G979" s="1" t="s">
        <v>32</v>
      </c>
      <c r="H979" s="1" t="s">
        <v>38</v>
      </c>
      <c r="I979">
        <v>1</v>
      </c>
      <c r="J979">
        <v>15284.42</v>
      </c>
      <c r="K979">
        <v>0.15</v>
      </c>
      <c r="L979">
        <v>3855.15</v>
      </c>
      <c r="M979" s="1" t="s">
        <v>50</v>
      </c>
    </row>
    <row r="980" spans="1:13" x14ac:dyDescent="0.3">
      <c r="A980" s="1" t="s">
        <v>1752</v>
      </c>
      <c r="B980" s="2">
        <v>45830</v>
      </c>
      <c r="C980" s="1" t="s">
        <v>1562</v>
      </c>
      <c r="D980" s="1" t="s">
        <v>1563</v>
      </c>
      <c r="E980" s="1" t="s">
        <v>16</v>
      </c>
      <c r="F980" s="1" t="s">
        <v>25</v>
      </c>
      <c r="G980" s="1" t="s">
        <v>26</v>
      </c>
      <c r="H980" s="1" t="s">
        <v>231</v>
      </c>
      <c r="I980">
        <v>7</v>
      </c>
      <c r="J980">
        <v>15620.39</v>
      </c>
      <c r="K980">
        <v>0.05</v>
      </c>
      <c r="L980">
        <v>4244.1400000000003</v>
      </c>
      <c r="M980" s="1" t="s">
        <v>28</v>
      </c>
    </row>
    <row r="981" spans="1:13" x14ac:dyDescent="0.3">
      <c r="A981" s="1" t="s">
        <v>1753</v>
      </c>
      <c r="B981" s="2">
        <v>45957</v>
      </c>
      <c r="C981" s="1" t="s">
        <v>1562</v>
      </c>
      <c r="D981" s="1" t="s">
        <v>1563</v>
      </c>
      <c r="E981" s="1" t="s">
        <v>74</v>
      </c>
      <c r="F981" s="1" t="s">
        <v>69</v>
      </c>
      <c r="G981" s="1" t="s">
        <v>26</v>
      </c>
      <c r="H981" s="1" t="s">
        <v>86</v>
      </c>
      <c r="I981">
        <v>10</v>
      </c>
      <c r="J981">
        <v>34147.61</v>
      </c>
      <c r="K981">
        <v>0.05</v>
      </c>
      <c r="L981">
        <v>9773.76</v>
      </c>
      <c r="M981" s="1" t="s">
        <v>50</v>
      </c>
    </row>
    <row r="982" spans="1:13" x14ac:dyDescent="0.3">
      <c r="A982" s="1" t="s">
        <v>1754</v>
      </c>
      <c r="B982" s="2">
        <v>45790</v>
      </c>
      <c r="C982" s="1" t="s">
        <v>181</v>
      </c>
      <c r="D982" s="1" t="s">
        <v>182</v>
      </c>
      <c r="E982" s="1" t="s">
        <v>24</v>
      </c>
      <c r="F982" s="1" t="s">
        <v>69</v>
      </c>
      <c r="G982" s="1" t="s">
        <v>18</v>
      </c>
      <c r="H982" s="1" t="s">
        <v>19</v>
      </c>
      <c r="I982">
        <v>6</v>
      </c>
      <c r="J982">
        <v>13076.5</v>
      </c>
      <c r="K982">
        <v>0.2</v>
      </c>
      <c r="L982">
        <v>3832.1</v>
      </c>
      <c r="M982" s="1" t="s">
        <v>50</v>
      </c>
    </row>
    <row r="983" spans="1:13" x14ac:dyDescent="0.3">
      <c r="A983" s="1" t="s">
        <v>1755</v>
      </c>
      <c r="B983" s="2">
        <v>45983</v>
      </c>
      <c r="C983" s="1" t="s">
        <v>124</v>
      </c>
      <c r="D983" s="1" t="s">
        <v>125</v>
      </c>
      <c r="E983" s="1" t="s">
        <v>24</v>
      </c>
      <c r="F983" s="1" t="s">
        <v>69</v>
      </c>
      <c r="G983" s="1" t="s">
        <v>18</v>
      </c>
      <c r="H983" s="1" t="s">
        <v>141</v>
      </c>
      <c r="I983">
        <v>10</v>
      </c>
      <c r="J983">
        <v>25452.81</v>
      </c>
      <c r="K983">
        <v>0.05</v>
      </c>
      <c r="L983">
        <v>6393.82</v>
      </c>
      <c r="M983" s="1" t="s">
        <v>28</v>
      </c>
    </row>
    <row r="984" spans="1:13" x14ac:dyDescent="0.3">
      <c r="A984" s="1" t="s">
        <v>1756</v>
      </c>
      <c r="B984" s="2">
        <v>45775</v>
      </c>
      <c r="C984" s="1" t="s">
        <v>1757</v>
      </c>
      <c r="D984" s="1" t="s">
        <v>1758</v>
      </c>
      <c r="E984" s="1" t="s">
        <v>74</v>
      </c>
      <c r="F984" s="1" t="s">
        <v>69</v>
      </c>
      <c r="G984" s="1" t="s">
        <v>18</v>
      </c>
      <c r="H984" s="1" t="s">
        <v>145</v>
      </c>
      <c r="I984">
        <v>9</v>
      </c>
      <c r="J984">
        <v>17526.95</v>
      </c>
      <c r="K984">
        <v>0</v>
      </c>
      <c r="L984">
        <v>4811.18</v>
      </c>
      <c r="M984" s="1" t="s">
        <v>39</v>
      </c>
    </row>
    <row r="985" spans="1:13" x14ac:dyDescent="0.3">
      <c r="A985" s="1" t="s">
        <v>1759</v>
      </c>
      <c r="B985" s="2">
        <v>45981</v>
      </c>
      <c r="C985" s="1" t="s">
        <v>1011</v>
      </c>
      <c r="D985" s="1" t="s">
        <v>1012</v>
      </c>
      <c r="E985" s="1" t="s">
        <v>43</v>
      </c>
      <c r="F985" s="1" t="s">
        <v>69</v>
      </c>
      <c r="G985" s="1" t="s">
        <v>26</v>
      </c>
      <c r="H985" s="1" t="s">
        <v>86</v>
      </c>
      <c r="I985">
        <v>7</v>
      </c>
      <c r="J985">
        <v>30293.74</v>
      </c>
      <c r="K985">
        <v>0.1</v>
      </c>
      <c r="L985">
        <v>8442.65</v>
      </c>
      <c r="M985" s="1" t="s">
        <v>50</v>
      </c>
    </row>
    <row r="986" spans="1:13" x14ac:dyDescent="0.3">
      <c r="A986" s="1" t="s">
        <v>1760</v>
      </c>
      <c r="B986" s="2">
        <v>45932</v>
      </c>
      <c r="C986" s="1" t="s">
        <v>561</v>
      </c>
      <c r="D986" s="1" t="s">
        <v>562</v>
      </c>
      <c r="E986" s="1" t="s">
        <v>74</v>
      </c>
      <c r="F986" s="1" t="s">
        <v>17</v>
      </c>
      <c r="G986" s="1" t="s">
        <v>32</v>
      </c>
      <c r="H986" s="1" t="s">
        <v>59</v>
      </c>
      <c r="I986">
        <v>8</v>
      </c>
      <c r="J986">
        <v>155346.48000000001</v>
      </c>
      <c r="K986">
        <v>0</v>
      </c>
      <c r="L986">
        <v>27828.05</v>
      </c>
      <c r="M986" s="1" t="s">
        <v>55</v>
      </c>
    </row>
    <row r="987" spans="1:13" x14ac:dyDescent="0.3">
      <c r="A987" s="1" t="s">
        <v>1761</v>
      </c>
      <c r="B987" s="2">
        <v>45869</v>
      </c>
      <c r="C987" s="1" t="s">
        <v>410</v>
      </c>
      <c r="D987" s="1" t="s">
        <v>411</v>
      </c>
      <c r="E987" s="1" t="s">
        <v>24</v>
      </c>
      <c r="F987" s="1" t="s">
        <v>25</v>
      </c>
      <c r="G987" s="1" t="s">
        <v>32</v>
      </c>
      <c r="H987" s="1" t="s">
        <v>79</v>
      </c>
      <c r="I987">
        <v>10</v>
      </c>
      <c r="J987">
        <v>136113.17000000001</v>
      </c>
      <c r="K987">
        <v>0.1</v>
      </c>
      <c r="L987">
        <v>33989.57</v>
      </c>
      <c r="M987" s="1" t="s">
        <v>55</v>
      </c>
    </row>
    <row r="988" spans="1:13" x14ac:dyDescent="0.3">
      <c r="A988" s="1" t="s">
        <v>1762</v>
      </c>
      <c r="B988" s="2">
        <v>45882</v>
      </c>
      <c r="C988" s="1" t="s">
        <v>1490</v>
      </c>
      <c r="D988" s="1" t="s">
        <v>1491</v>
      </c>
      <c r="E988" s="1" t="s">
        <v>74</v>
      </c>
      <c r="F988" s="1" t="s">
        <v>25</v>
      </c>
      <c r="G988" s="1" t="s">
        <v>18</v>
      </c>
      <c r="H988" s="1" t="s">
        <v>97</v>
      </c>
      <c r="I988">
        <v>2</v>
      </c>
      <c r="J988">
        <v>3631.03</v>
      </c>
      <c r="K988">
        <v>0.1</v>
      </c>
      <c r="L988">
        <v>1034.8399999999999</v>
      </c>
      <c r="M988" s="1" t="s">
        <v>55</v>
      </c>
    </row>
    <row r="989" spans="1:13" x14ac:dyDescent="0.3">
      <c r="A989" s="1" t="s">
        <v>1763</v>
      </c>
      <c r="B989" s="2">
        <v>45677</v>
      </c>
      <c r="C989" s="1" t="s">
        <v>1764</v>
      </c>
      <c r="D989" s="1" t="s">
        <v>1765</v>
      </c>
      <c r="E989" s="1" t="s">
        <v>74</v>
      </c>
      <c r="F989" s="1" t="s">
        <v>25</v>
      </c>
      <c r="G989" s="1" t="s">
        <v>18</v>
      </c>
      <c r="H989" s="1" t="s">
        <v>145</v>
      </c>
      <c r="I989">
        <v>5</v>
      </c>
      <c r="J989">
        <v>6783.96</v>
      </c>
      <c r="K989">
        <v>0.15</v>
      </c>
      <c r="L989">
        <v>2124.46</v>
      </c>
      <c r="M989" s="1" t="s">
        <v>39</v>
      </c>
    </row>
    <row r="990" spans="1:13" x14ac:dyDescent="0.3">
      <c r="A990" s="1" t="s">
        <v>1766</v>
      </c>
      <c r="B990" s="2">
        <v>45770</v>
      </c>
      <c r="C990" s="1" t="s">
        <v>451</v>
      </c>
      <c r="D990" s="1" t="s">
        <v>452</v>
      </c>
      <c r="E990" s="1" t="s">
        <v>74</v>
      </c>
      <c r="F990" s="1" t="s">
        <v>25</v>
      </c>
      <c r="G990" s="1" t="s">
        <v>44</v>
      </c>
      <c r="H990" s="1" t="s">
        <v>75</v>
      </c>
      <c r="I990">
        <v>6</v>
      </c>
      <c r="J990">
        <v>72704.639999999999</v>
      </c>
      <c r="K990">
        <v>0.15</v>
      </c>
      <c r="L990">
        <v>12024.66</v>
      </c>
      <c r="M990" s="1" t="s">
        <v>50</v>
      </c>
    </row>
    <row r="991" spans="1:13" x14ac:dyDescent="0.3">
      <c r="A991" s="1" t="s">
        <v>1767</v>
      </c>
      <c r="B991" s="2">
        <v>45797</v>
      </c>
      <c r="C991" s="1" t="s">
        <v>1248</v>
      </c>
      <c r="D991" s="1" t="s">
        <v>1249</v>
      </c>
      <c r="E991" s="1" t="s">
        <v>37</v>
      </c>
      <c r="F991" s="1" t="s">
        <v>69</v>
      </c>
      <c r="G991" s="1" t="s">
        <v>18</v>
      </c>
      <c r="H991" s="1" t="s">
        <v>141</v>
      </c>
      <c r="I991">
        <v>7</v>
      </c>
      <c r="J991">
        <v>11344.35</v>
      </c>
      <c r="K991">
        <v>0.1</v>
      </c>
      <c r="L991">
        <v>3143.64</v>
      </c>
      <c r="M991" s="1" t="s">
        <v>20</v>
      </c>
    </row>
    <row r="992" spans="1:13" x14ac:dyDescent="0.3">
      <c r="A992" s="1" t="s">
        <v>1768</v>
      </c>
      <c r="B992" s="2">
        <v>45704</v>
      </c>
      <c r="C992" s="1" t="s">
        <v>153</v>
      </c>
      <c r="D992" s="1" t="s">
        <v>154</v>
      </c>
      <c r="E992" s="1" t="s">
        <v>43</v>
      </c>
      <c r="F992" s="1" t="s">
        <v>17</v>
      </c>
      <c r="G992" s="1" t="s">
        <v>32</v>
      </c>
      <c r="H992" s="1" t="s">
        <v>33</v>
      </c>
      <c r="I992">
        <v>9</v>
      </c>
      <c r="J992">
        <v>113414.31</v>
      </c>
      <c r="K992">
        <v>0.05</v>
      </c>
      <c r="L992">
        <v>23518.05</v>
      </c>
      <c r="M992" s="1" t="s">
        <v>55</v>
      </c>
    </row>
    <row r="993" spans="1:13" x14ac:dyDescent="0.3">
      <c r="A993" s="1" t="s">
        <v>1769</v>
      </c>
      <c r="B993" s="2">
        <v>45658</v>
      </c>
      <c r="C993" s="1" t="s">
        <v>604</v>
      </c>
      <c r="D993" s="1" t="s">
        <v>605</v>
      </c>
      <c r="E993" s="1" t="s">
        <v>24</v>
      </c>
      <c r="F993" s="1" t="s">
        <v>17</v>
      </c>
      <c r="G993" s="1" t="s">
        <v>32</v>
      </c>
      <c r="H993" s="1" t="s">
        <v>54</v>
      </c>
      <c r="I993">
        <v>6</v>
      </c>
      <c r="J993">
        <v>85242.17</v>
      </c>
      <c r="K993">
        <v>0.15</v>
      </c>
      <c r="L993">
        <v>20965.2</v>
      </c>
      <c r="M993" s="1" t="s">
        <v>20</v>
      </c>
    </row>
    <row r="994" spans="1:13" x14ac:dyDescent="0.3">
      <c r="A994" s="1" t="s">
        <v>1770</v>
      </c>
      <c r="B994" s="2">
        <v>45747</v>
      </c>
      <c r="C994" s="1" t="s">
        <v>379</v>
      </c>
      <c r="D994" s="1" t="s">
        <v>380</v>
      </c>
      <c r="E994" s="1" t="s">
        <v>74</v>
      </c>
      <c r="F994" s="1" t="s">
        <v>69</v>
      </c>
      <c r="G994" s="1" t="s">
        <v>44</v>
      </c>
      <c r="H994" s="1" t="s">
        <v>70</v>
      </c>
      <c r="I994">
        <v>5</v>
      </c>
      <c r="J994">
        <v>61210.77</v>
      </c>
      <c r="K994">
        <v>0.15</v>
      </c>
      <c r="L994">
        <v>12543.53</v>
      </c>
      <c r="M994" s="1" t="s">
        <v>39</v>
      </c>
    </row>
    <row r="995" spans="1:13" x14ac:dyDescent="0.3">
      <c r="A995" s="1" t="s">
        <v>1771</v>
      </c>
      <c r="B995" s="2">
        <v>45799</v>
      </c>
      <c r="C995" s="1" t="s">
        <v>853</v>
      </c>
      <c r="D995" s="1" t="s">
        <v>854</v>
      </c>
      <c r="E995" s="1" t="s">
        <v>24</v>
      </c>
      <c r="F995" s="1" t="s">
        <v>25</v>
      </c>
      <c r="G995" s="1" t="s">
        <v>44</v>
      </c>
      <c r="H995" s="1" t="s">
        <v>155</v>
      </c>
      <c r="I995">
        <v>7</v>
      </c>
      <c r="J995">
        <v>71348.56</v>
      </c>
      <c r="K995">
        <v>0.05</v>
      </c>
      <c r="L995">
        <v>11203.5</v>
      </c>
      <c r="M995" s="1" t="s">
        <v>55</v>
      </c>
    </row>
    <row r="996" spans="1:13" x14ac:dyDescent="0.3">
      <c r="A996" s="1" t="s">
        <v>1772</v>
      </c>
      <c r="B996" s="2">
        <v>45977</v>
      </c>
      <c r="C996" s="1" t="s">
        <v>761</v>
      </c>
      <c r="D996" s="1" t="s">
        <v>762</v>
      </c>
      <c r="E996" s="1" t="s">
        <v>43</v>
      </c>
      <c r="F996" s="1" t="s">
        <v>17</v>
      </c>
      <c r="G996" s="1" t="s">
        <v>26</v>
      </c>
      <c r="H996" s="1" t="s">
        <v>27</v>
      </c>
      <c r="I996">
        <v>3</v>
      </c>
      <c r="J996">
        <v>13166.08</v>
      </c>
      <c r="K996">
        <v>0.05</v>
      </c>
      <c r="L996">
        <v>3374.09</v>
      </c>
      <c r="M996" s="1" t="s">
        <v>28</v>
      </c>
    </row>
    <row r="997" spans="1:13" x14ac:dyDescent="0.3">
      <c r="A997" s="1" t="s">
        <v>1773</v>
      </c>
      <c r="B997" s="2">
        <v>45695</v>
      </c>
      <c r="C997" s="1" t="s">
        <v>1774</v>
      </c>
      <c r="D997" s="1" t="s">
        <v>1775</v>
      </c>
      <c r="E997" s="1" t="s">
        <v>43</v>
      </c>
      <c r="F997" s="1" t="s">
        <v>25</v>
      </c>
      <c r="G997" s="1" t="s">
        <v>26</v>
      </c>
      <c r="H997" s="1" t="s">
        <v>86</v>
      </c>
      <c r="I997">
        <v>8</v>
      </c>
      <c r="J997">
        <v>26093.82</v>
      </c>
      <c r="K997">
        <v>0</v>
      </c>
      <c r="L997">
        <v>6178.46</v>
      </c>
      <c r="M997" s="1" t="s">
        <v>28</v>
      </c>
    </row>
    <row r="998" spans="1:13" x14ac:dyDescent="0.3">
      <c r="A998" s="1" t="s">
        <v>1776</v>
      </c>
      <c r="B998" s="2">
        <v>45950</v>
      </c>
      <c r="C998" s="1" t="s">
        <v>67</v>
      </c>
      <c r="D998" s="1" t="s">
        <v>68</v>
      </c>
      <c r="E998" s="1" t="s">
        <v>37</v>
      </c>
      <c r="F998" s="1" t="s">
        <v>17</v>
      </c>
      <c r="G998" s="1" t="s">
        <v>44</v>
      </c>
      <c r="H998" s="1" t="s">
        <v>90</v>
      </c>
      <c r="I998">
        <v>5</v>
      </c>
      <c r="J998">
        <v>43424.18</v>
      </c>
      <c r="K998">
        <v>0.1</v>
      </c>
      <c r="L998">
        <v>6239.7</v>
      </c>
      <c r="M998" s="1" t="s">
        <v>55</v>
      </c>
    </row>
    <row r="999" spans="1:13" x14ac:dyDescent="0.3">
      <c r="A999" s="1" t="s">
        <v>1777</v>
      </c>
      <c r="B999" s="2">
        <v>45796</v>
      </c>
      <c r="C999" s="1" t="s">
        <v>61</v>
      </c>
      <c r="D999" s="1" t="s">
        <v>62</v>
      </c>
      <c r="E999" s="1" t="s">
        <v>16</v>
      </c>
      <c r="F999" s="1" t="s">
        <v>25</v>
      </c>
      <c r="G999" s="1" t="s">
        <v>32</v>
      </c>
      <c r="H999" s="1" t="s">
        <v>79</v>
      </c>
      <c r="I999">
        <v>7</v>
      </c>
      <c r="J999">
        <v>105500.47</v>
      </c>
      <c r="K999">
        <v>0.05</v>
      </c>
      <c r="L999">
        <v>19497.900000000001</v>
      </c>
      <c r="M999" s="1" t="s">
        <v>50</v>
      </c>
    </row>
    <row r="1000" spans="1:13" x14ac:dyDescent="0.3">
      <c r="A1000" s="1" t="s">
        <v>1778</v>
      </c>
      <c r="B1000" s="2">
        <v>46013</v>
      </c>
      <c r="C1000" s="1" t="s">
        <v>1779</v>
      </c>
      <c r="D1000" s="1" t="s">
        <v>1780</v>
      </c>
      <c r="E1000" s="1" t="s">
        <v>37</v>
      </c>
      <c r="F1000" s="1" t="s">
        <v>25</v>
      </c>
      <c r="G1000" s="1" t="s">
        <v>44</v>
      </c>
      <c r="H1000" s="1" t="s">
        <v>45</v>
      </c>
      <c r="I1000">
        <v>5</v>
      </c>
      <c r="J1000">
        <v>35253.199999999997</v>
      </c>
      <c r="K1000">
        <v>0</v>
      </c>
      <c r="L1000">
        <v>5770.96</v>
      </c>
      <c r="M1000" s="1" t="s">
        <v>28</v>
      </c>
    </row>
    <row r="1001" spans="1:13" x14ac:dyDescent="0.3">
      <c r="A1001" s="1" t="s">
        <v>1781</v>
      </c>
      <c r="B1001" s="2">
        <v>45990</v>
      </c>
      <c r="C1001" s="1" t="s">
        <v>545</v>
      </c>
      <c r="D1001" s="1" t="s">
        <v>546</v>
      </c>
      <c r="E1001" s="1" t="s">
        <v>24</v>
      </c>
      <c r="F1001" s="1" t="s">
        <v>69</v>
      </c>
      <c r="G1001" s="1" t="s">
        <v>18</v>
      </c>
      <c r="H1001" s="1" t="s">
        <v>97</v>
      </c>
      <c r="I1001">
        <v>2</v>
      </c>
      <c r="J1001">
        <v>3483.61</v>
      </c>
      <c r="K1001">
        <v>0.15</v>
      </c>
      <c r="L1001">
        <v>1029.68</v>
      </c>
      <c r="M1001" s="1" t="s">
        <v>55</v>
      </c>
    </row>
    <row r="1002" spans="1:13" x14ac:dyDescent="0.3">
      <c r="A1002" s="1" t="s">
        <v>1782</v>
      </c>
      <c r="B1002" s="2">
        <v>45916</v>
      </c>
      <c r="C1002" s="1" t="s">
        <v>583</v>
      </c>
      <c r="D1002" s="1" t="s">
        <v>584</v>
      </c>
      <c r="E1002" s="1" t="s">
        <v>24</v>
      </c>
      <c r="F1002" s="1" t="s">
        <v>25</v>
      </c>
      <c r="G1002" s="1" t="s">
        <v>32</v>
      </c>
      <c r="H1002" s="1" t="s">
        <v>33</v>
      </c>
      <c r="I1002">
        <v>8</v>
      </c>
      <c r="J1002">
        <v>86938.82</v>
      </c>
      <c r="K1002">
        <v>0.1</v>
      </c>
      <c r="L1002">
        <v>19011.84</v>
      </c>
      <c r="M1002" s="1" t="s">
        <v>39</v>
      </c>
    </row>
    <row r="1003" spans="1:13" x14ac:dyDescent="0.3">
      <c r="A1003" s="1" t="s">
        <v>1783</v>
      </c>
      <c r="B1003" s="2">
        <v>45818</v>
      </c>
      <c r="C1003" s="1" t="s">
        <v>476</v>
      </c>
      <c r="D1003" s="1" t="s">
        <v>477</v>
      </c>
      <c r="E1003" s="1" t="s">
        <v>16</v>
      </c>
      <c r="F1003" s="1" t="s">
        <v>25</v>
      </c>
      <c r="G1003" s="1" t="s">
        <v>26</v>
      </c>
      <c r="H1003" s="1" t="s">
        <v>27</v>
      </c>
      <c r="I1003">
        <v>1</v>
      </c>
      <c r="J1003">
        <v>2943.71</v>
      </c>
      <c r="K1003">
        <v>0.15</v>
      </c>
      <c r="L1003">
        <v>732.62</v>
      </c>
      <c r="M1003" s="1" t="s">
        <v>55</v>
      </c>
    </row>
    <row r="1004" spans="1:13" x14ac:dyDescent="0.3">
      <c r="A1004" s="1" t="s">
        <v>1784</v>
      </c>
      <c r="B1004" s="2">
        <v>45835</v>
      </c>
      <c r="C1004" s="1" t="s">
        <v>1036</v>
      </c>
      <c r="D1004" s="1" t="s">
        <v>1037</v>
      </c>
      <c r="E1004" s="1" t="s">
        <v>24</v>
      </c>
      <c r="F1004" s="1" t="s">
        <v>25</v>
      </c>
      <c r="G1004" s="1" t="s">
        <v>32</v>
      </c>
      <c r="H1004" s="1" t="s">
        <v>38</v>
      </c>
      <c r="I1004">
        <v>3</v>
      </c>
      <c r="J1004">
        <v>34697.760000000002</v>
      </c>
      <c r="K1004">
        <v>0.05</v>
      </c>
      <c r="L1004">
        <v>6810.76</v>
      </c>
      <c r="M1004" s="1" t="s">
        <v>28</v>
      </c>
    </row>
    <row r="1005" spans="1:13" x14ac:dyDescent="0.3">
      <c r="A1005" s="1" t="s">
        <v>1785</v>
      </c>
      <c r="B1005" s="2">
        <v>45667</v>
      </c>
      <c r="C1005" s="1" t="s">
        <v>214</v>
      </c>
      <c r="D1005" s="1" t="s">
        <v>215</v>
      </c>
      <c r="E1005" s="1" t="s">
        <v>24</v>
      </c>
      <c r="F1005" s="1" t="s">
        <v>25</v>
      </c>
      <c r="G1005" s="1" t="s">
        <v>44</v>
      </c>
      <c r="H1005" s="1" t="s">
        <v>70</v>
      </c>
      <c r="I1005">
        <v>2</v>
      </c>
      <c r="J1005">
        <v>19714.53</v>
      </c>
      <c r="K1005">
        <v>0.2</v>
      </c>
      <c r="L1005">
        <v>4451.78</v>
      </c>
      <c r="M1005" s="1" t="s">
        <v>28</v>
      </c>
    </row>
    <row r="1006" spans="1:13" x14ac:dyDescent="0.3">
      <c r="A1006" s="1" t="s">
        <v>1786</v>
      </c>
      <c r="B1006" s="2">
        <v>45918</v>
      </c>
      <c r="C1006" s="1" t="s">
        <v>1258</v>
      </c>
      <c r="D1006" s="1" t="s">
        <v>1259</v>
      </c>
      <c r="E1006" s="1" t="s">
        <v>43</v>
      </c>
      <c r="F1006" s="1" t="s">
        <v>17</v>
      </c>
      <c r="G1006" s="1" t="s">
        <v>26</v>
      </c>
      <c r="H1006" s="1" t="s">
        <v>231</v>
      </c>
      <c r="I1006">
        <v>8</v>
      </c>
      <c r="J1006">
        <v>25040.1</v>
      </c>
      <c r="K1006">
        <v>0.15</v>
      </c>
      <c r="L1006">
        <v>7495.76</v>
      </c>
      <c r="M1006" s="1" t="s">
        <v>28</v>
      </c>
    </row>
    <row r="1007" spans="1:13" x14ac:dyDescent="0.3">
      <c r="A1007" s="1" t="s">
        <v>1787</v>
      </c>
      <c r="B1007" s="2">
        <v>45795</v>
      </c>
      <c r="C1007" s="1" t="s">
        <v>398</v>
      </c>
      <c r="D1007" s="1" t="s">
        <v>399</v>
      </c>
      <c r="E1007" s="1" t="s">
        <v>16</v>
      </c>
      <c r="F1007" s="1" t="s">
        <v>25</v>
      </c>
      <c r="G1007" s="1" t="s">
        <v>44</v>
      </c>
      <c r="H1007" s="1" t="s">
        <v>75</v>
      </c>
      <c r="I1007">
        <v>9</v>
      </c>
      <c r="J1007">
        <v>48636.19</v>
      </c>
      <c r="K1007">
        <v>0.15</v>
      </c>
      <c r="L1007">
        <v>9081.17</v>
      </c>
      <c r="M1007" s="1" t="s">
        <v>50</v>
      </c>
    </row>
    <row r="1008" spans="1:13" x14ac:dyDescent="0.3">
      <c r="A1008" s="1" t="s">
        <v>1788</v>
      </c>
      <c r="B1008" s="2">
        <v>45829</v>
      </c>
      <c r="C1008" s="1" t="s">
        <v>420</v>
      </c>
      <c r="D1008" s="1" t="s">
        <v>421</v>
      </c>
      <c r="E1008" s="1" t="s">
        <v>16</v>
      </c>
      <c r="F1008" s="1" t="s">
        <v>25</v>
      </c>
      <c r="G1008" s="1" t="s">
        <v>32</v>
      </c>
      <c r="H1008" s="1" t="s">
        <v>59</v>
      </c>
      <c r="I1008">
        <v>2</v>
      </c>
      <c r="J1008">
        <v>23951.87</v>
      </c>
      <c r="K1008">
        <v>0.2</v>
      </c>
      <c r="L1008">
        <v>5009.24</v>
      </c>
      <c r="M1008" s="1" t="s">
        <v>20</v>
      </c>
    </row>
    <row r="1009" spans="1:13" x14ac:dyDescent="0.3">
      <c r="A1009" s="1" t="s">
        <v>1789</v>
      </c>
      <c r="B1009" s="2">
        <v>45670</v>
      </c>
      <c r="C1009" s="1" t="s">
        <v>395</v>
      </c>
      <c r="D1009" s="1" t="s">
        <v>396</v>
      </c>
      <c r="E1009" s="1" t="s">
        <v>74</v>
      </c>
      <c r="F1009" s="1" t="s">
        <v>69</v>
      </c>
      <c r="G1009" s="1" t="s">
        <v>32</v>
      </c>
      <c r="H1009" s="1" t="s">
        <v>38</v>
      </c>
      <c r="I1009">
        <v>6</v>
      </c>
      <c r="J1009">
        <v>52536.31</v>
      </c>
      <c r="K1009">
        <v>0.2</v>
      </c>
      <c r="L1009">
        <v>13312.26</v>
      </c>
      <c r="M1009" s="1" t="s">
        <v>50</v>
      </c>
    </row>
    <row r="1010" spans="1:13" x14ac:dyDescent="0.3">
      <c r="A1010" s="1" t="s">
        <v>1790</v>
      </c>
      <c r="B1010" s="2">
        <v>45825</v>
      </c>
      <c r="C1010" s="1" t="s">
        <v>270</v>
      </c>
      <c r="D1010" s="1" t="s">
        <v>271</v>
      </c>
      <c r="E1010" s="1" t="s">
        <v>37</v>
      </c>
      <c r="F1010" s="1" t="s">
        <v>25</v>
      </c>
      <c r="G1010" s="1" t="s">
        <v>44</v>
      </c>
      <c r="H1010" s="1" t="s">
        <v>75</v>
      </c>
      <c r="I1010">
        <v>8</v>
      </c>
      <c r="J1010">
        <v>46211.91</v>
      </c>
      <c r="K1010">
        <v>0.1</v>
      </c>
      <c r="L1010">
        <v>7599.83</v>
      </c>
      <c r="M1010" s="1" t="s">
        <v>55</v>
      </c>
    </row>
    <row r="1011" spans="1:13" x14ac:dyDescent="0.3">
      <c r="A1011" s="1" t="s">
        <v>1791</v>
      </c>
      <c r="B1011" s="2">
        <v>45787</v>
      </c>
      <c r="C1011" s="1" t="s">
        <v>533</v>
      </c>
      <c r="D1011" s="1" t="s">
        <v>534</v>
      </c>
      <c r="E1011" s="1" t="s">
        <v>24</v>
      </c>
      <c r="F1011" s="1" t="s">
        <v>25</v>
      </c>
      <c r="G1011" s="1" t="s">
        <v>18</v>
      </c>
      <c r="H1011" s="1" t="s">
        <v>97</v>
      </c>
      <c r="I1011">
        <v>6</v>
      </c>
      <c r="J1011">
        <v>8418.7800000000007</v>
      </c>
      <c r="K1011">
        <v>0.2</v>
      </c>
      <c r="L1011">
        <v>2392.73</v>
      </c>
      <c r="M1011" s="1" t="s">
        <v>50</v>
      </c>
    </row>
    <row r="1012" spans="1:13" x14ac:dyDescent="0.3">
      <c r="A1012" s="1" t="s">
        <v>1792</v>
      </c>
      <c r="B1012" s="2">
        <v>45741</v>
      </c>
      <c r="C1012" s="1" t="s">
        <v>1793</v>
      </c>
      <c r="D1012" s="1" t="s">
        <v>1794</v>
      </c>
      <c r="E1012" s="1" t="s">
        <v>43</v>
      </c>
      <c r="F1012" s="1" t="s">
        <v>25</v>
      </c>
      <c r="G1012" s="1" t="s">
        <v>18</v>
      </c>
      <c r="H1012" s="1" t="s">
        <v>97</v>
      </c>
      <c r="I1012">
        <v>1</v>
      </c>
      <c r="J1012">
        <v>1416.72</v>
      </c>
      <c r="K1012">
        <v>0.15</v>
      </c>
      <c r="L1012">
        <v>395.94</v>
      </c>
      <c r="M1012" s="1" t="s">
        <v>20</v>
      </c>
    </row>
    <row r="1013" spans="1:13" x14ac:dyDescent="0.3">
      <c r="A1013" s="1" t="s">
        <v>1795</v>
      </c>
      <c r="B1013" s="2">
        <v>45978</v>
      </c>
      <c r="C1013" s="1" t="s">
        <v>558</v>
      </c>
      <c r="D1013" s="1" t="s">
        <v>559</v>
      </c>
      <c r="E1013" s="1" t="s">
        <v>74</v>
      </c>
      <c r="F1013" s="1" t="s">
        <v>25</v>
      </c>
      <c r="G1013" s="1" t="s">
        <v>26</v>
      </c>
      <c r="H1013" s="1" t="s">
        <v>49</v>
      </c>
      <c r="I1013">
        <v>1</v>
      </c>
      <c r="J1013">
        <v>1455.54</v>
      </c>
      <c r="K1013">
        <v>0.2</v>
      </c>
      <c r="L1013">
        <v>324.13</v>
      </c>
      <c r="M1013" s="1" t="s">
        <v>39</v>
      </c>
    </row>
    <row r="1014" spans="1:13" x14ac:dyDescent="0.3">
      <c r="A1014" s="1" t="s">
        <v>1796</v>
      </c>
      <c r="B1014" s="2">
        <v>45976</v>
      </c>
      <c r="C1014" s="1" t="s">
        <v>577</v>
      </c>
      <c r="D1014" s="1" t="s">
        <v>578</v>
      </c>
      <c r="E1014" s="1" t="s">
        <v>37</v>
      </c>
      <c r="F1014" s="1" t="s">
        <v>25</v>
      </c>
      <c r="G1014" s="1" t="s">
        <v>44</v>
      </c>
      <c r="H1014" s="1" t="s">
        <v>45</v>
      </c>
      <c r="I1014">
        <v>2</v>
      </c>
      <c r="J1014">
        <v>19336.38</v>
      </c>
      <c r="K1014">
        <v>0.05</v>
      </c>
      <c r="L1014">
        <v>3104.32</v>
      </c>
      <c r="M1014" s="1" t="s">
        <v>55</v>
      </c>
    </row>
    <row r="1015" spans="1:13" x14ac:dyDescent="0.3">
      <c r="A1015" s="1" t="s">
        <v>1797</v>
      </c>
      <c r="B1015" s="2">
        <v>45758</v>
      </c>
      <c r="C1015" s="1" t="s">
        <v>952</v>
      </c>
      <c r="D1015" s="1" t="s">
        <v>953</v>
      </c>
      <c r="E1015" s="1" t="s">
        <v>74</v>
      </c>
      <c r="F1015" s="1" t="s">
        <v>69</v>
      </c>
      <c r="G1015" s="1" t="s">
        <v>32</v>
      </c>
      <c r="H1015" s="1" t="s">
        <v>33</v>
      </c>
      <c r="I1015">
        <v>5</v>
      </c>
      <c r="J1015">
        <v>59092.68</v>
      </c>
      <c r="K1015">
        <v>0.2</v>
      </c>
      <c r="L1015">
        <v>14069.55</v>
      </c>
      <c r="M1015" s="1" t="s">
        <v>20</v>
      </c>
    </row>
    <row r="1016" spans="1:13" x14ac:dyDescent="0.3">
      <c r="A1016" s="1" t="s">
        <v>1798</v>
      </c>
      <c r="B1016" s="2">
        <v>45986</v>
      </c>
      <c r="C1016" s="1" t="s">
        <v>175</v>
      </c>
      <c r="D1016" s="1" t="s">
        <v>176</v>
      </c>
      <c r="E1016" s="1" t="s">
        <v>16</v>
      </c>
      <c r="F1016" s="1" t="s">
        <v>25</v>
      </c>
      <c r="G1016" s="1" t="s">
        <v>26</v>
      </c>
      <c r="H1016" s="1" t="s">
        <v>244</v>
      </c>
      <c r="I1016">
        <v>1</v>
      </c>
      <c r="J1016">
        <v>3816.36</v>
      </c>
      <c r="K1016">
        <v>0.05</v>
      </c>
      <c r="L1016">
        <v>871.25</v>
      </c>
      <c r="M1016" s="1" t="s">
        <v>28</v>
      </c>
    </row>
    <row r="1017" spans="1:13" x14ac:dyDescent="0.3">
      <c r="A1017" s="1" t="s">
        <v>1799</v>
      </c>
      <c r="B1017" s="2">
        <v>45930</v>
      </c>
      <c r="C1017" s="1" t="s">
        <v>95</v>
      </c>
      <c r="D1017" s="1" t="s">
        <v>96</v>
      </c>
      <c r="E1017" s="1" t="s">
        <v>24</v>
      </c>
      <c r="F1017" s="1" t="s">
        <v>25</v>
      </c>
      <c r="G1017" s="1" t="s">
        <v>26</v>
      </c>
      <c r="H1017" s="1" t="s">
        <v>244</v>
      </c>
      <c r="I1017">
        <v>2</v>
      </c>
      <c r="J1017">
        <v>4521.93</v>
      </c>
      <c r="K1017">
        <v>0.05</v>
      </c>
      <c r="L1017">
        <v>1136.18</v>
      </c>
      <c r="M1017" s="1" t="s">
        <v>55</v>
      </c>
    </row>
    <row r="1018" spans="1:13" x14ac:dyDescent="0.3">
      <c r="A1018" s="1" t="s">
        <v>1800</v>
      </c>
      <c r="B1018" s="2">
        <v>45922</v>
      </c>
      <c r="C1018" s="1" t="s">
        <v>1597</v>
      </c>
      <c r="D1018" s="1" t="s">
        <v>1598</v>
      </c>
      <c r="E1018" s="1" t="s">
        <v>74</v>
      </c>
      <c r="F1018" s="1" t="s">
        <v>69</v>
      </c>
      <c r="G1018" s="1" t="s">
        <v>26</v>
      </c>
      <c r="H1018" s="1" t="s">
        <v>231</v>
      </c>
      <c r="I1018">
        <v>3</v>
      </c>
      <c r="J1018">
        <v>7750.49</v>
      </c>
      <c r="K1018">
        <v>0.1</v>
      </c>
      <c r="L1018">
        <v>1563.21</v>
      </c>
      <c r="M1018" s="1" t="s">
        <v>55</v>
      </c>
    </row>
    <row r="1019" spans="1:13" x14ac:dyDescent="0.3">
      <c r="A1019" s="1" t="s">
        <v>1801</v>
      </c>
      <c r="B1019" s="2">
        <v>45695</v>
      </c>
      <c r="C1019" s="1" t="s">
        <v>346</v>
      </c>
      <c r="D1019" s="1" t="s">
        <v>347</v>
      </c>
      <c r="E1019" s="1" t="s">
        <v>24</v>
      </c>
      <c r="F1019" s="1" t="s">
        <v>25</v>
      </c>
      <c r="G1019" s="1" t="s">
        <v>32</v>
      </c>
      <c r="H1019" s="1" t="s">
        <v>38</v>
      </c>
      <c r="I1019">
        <v>9</v>
      </c>
      <c r="J1019">
        <v>76048.94</v>
      </c>
      <c r="K1019">
        <v>0.15</v>
      </c>
      <c r="L1019">
        <v>20412.79</v>
      </c>
      <c r="M1019" s="1" t="s">
        <v>28</v>
      </c>
    </row>
    <row r="1020" spans="1:13" x14ac:dyDescent="0.3">
      <c r="A1020" s="1" t="s">
        <v>1802</v>
      </c>
      <c r="B1020" s="2">
        <v>45751</v>
      </c>
      <c r="C1020" s="1" t="s">
        <v>1047</v>
      </c>
      <c r="D1020" s="1" t="s">
        <v>1048</v>
      </c>
      <c r="E1020" s="1" t="s">
        <v>43</v>
      </c>
      <c r="F1020" s="1" t="s">
        <v>25</v>
      </c>
      <c r="G1020" s="1" t="s">
        <v>44</v>
      </c>
      <c r="H1020" s="1" t="s">
        <v>90</v>
      </c>
      <c r="I1020">
        <v>2</v>
      </c>
      <c r="J1020">
        <v>28219.14</v>
      </c>
      <c r="K1020">
        <v>0</v>
      </c>
      <c r="L1020">
        <v>5327.45</v>
      </c>
      <c r="M1020" s="1" t="s">
        <v>55</v>
      </c>
    </row>
    <row r="1021" spans="1:13" x14ac:dyDescent="0.3">
      <c r="A1021" s="1" t="s">
        <v>1803</v>
      </c>
      <c r="B1021" s="2">
        <v>45752</v>
      </c>
      <c r="C1021" s="1" t="s">
        <v>1804</v>
      </c>
      <c r="D1021" s="1" t="s">
        <v>1805</v>
      </c>
      <c r="E1021" s="1" t="s">
        <v>24</v>
      </c>
      <c r="F1021" s="1" t="s">
        <v>69</v>
      </c>
      <c r="G1021" s="1" t="s">
        <v>26</v>
      </c>
      <c r="H1021" s="1" t="s">
        <v>231</v>
      </c>
      <c r="I1021">
        <v>1</v>
      </c>
      <c r="J1021">
        <v>4723.87</v>
      </c>
      <c r="K1021">
        <v>0</v>
      </c>
      <c r="L1021">
        <v>1395.6</v>
      </c>
      <c r="M1021" s="1" t="s">
        <v>39</v>
      </c>
    </row>
    <row r="1022" spans="1:13" x14ac:dyDescent="0.3">
      <c r="A1022" s="1" t="s">
        <v>1806</v>
      </c>
      <c r="B1022" s="2">
        <v>45962</v>
      </c>
      <c r="C1022" s="1" t="s">
        <v>571</v>
      </c>
      <c r="D1022" s="1" t="s">
        <v>572</v>
      </c>
      <c r="E1022" s="1" t="s">
        <v>43</v>
      </c>
      <c r="F1022" s="1" t="s">
        <v>25</v>
      </c>
      <c r="G1022" s="1" t="s">
        <v>32</v>
      </c>
      <c r="H1022" s="1" t="s">
        <v>38</v>
      </c>
      <c r="I1022">
        <v>3</v>
      </c>
      <c r="J1022">
        <v>64229</v>
      </c>
      <c r="K1022">
        <v>0</v>
      </c>
      <c r="L1022">
        <v>16842.330000000002</v>
      </c>
      <c r="M1022" s="1" t="s">
        <v>55</v>
      </c>
    </row>
    <row r="1023" spans="1:13" x14ac:dyDescent="0.3">
      <c r="A1023" s="1" t="s">
        <v>1807</v>
      </c>
      <c r="B1023" s="2">
        <v>45726</v>
      </c>
      <c r="C1023" s="1" t="s">
        <v>964</v>
      </c>
      <c r="D1023" s="1" t="s">
        <v>965</v>
      </c>
      <c r="E1023" s="1" t="s">
        <v>43</v>
      </c>
      <c r="F1023" s="1" t="s">
        <v>69</v>
      </c>
      <c r="G1023" s="1" t="s">
        <v>44</v>
      </c>
      <c r="H1023" s="1" t="s">
        <v>155</v>
      </c>
      <c r="I1023">
        <v>10</v>
      </c>
      <c r="J1023">
        <v>70279.56</v>
      </c>
      <c r="K1023">
        <v>0.2</v>
      </c>
      <c r="L1023">
        <v>14962.03</v>
      </c>
      <c r="M1023" s="1" t="s">
        <v>28</v>
      </c>
    </row>
    <row r="1024" spans="1:13" x14ac:dyDescent="0.3">
      <c r="A1024" s="1" t="s">
        <v>1808</v>
      </c>
      <c r="B1024" s="2">
        <v>45975</v>
      </c>
      <c r="C1024" s="1" t="s">
        <v>102</v>
      </c>
      <c r="D1024" s="1" t="s">
        <v>103</v>
      </c>
      <c r="E1024" s="1" t="s">
        <v>37</v>
      </c>
      <c r="F1024" s="1" t="s">
        <v>25</v>
      </c>
      <c r="G1024" s="1" t="s">
        <v>32</v>
      </c>
      <c r="H1024" s="1" t="s">
        <v>59</v>
      </c>
      <c r="I1024">
        <v>6</v>
      </c>
      <c r="J1024">
        <v>102324.73</v>
      </c>
      <c r="K1024">
        <v>0.15</v>
      </c>
      <c r="L1024">
        <v>21017.7</v>
      </c>
      <c r="M1024" s="1" t="s">
        <v>20</v>
      </c>
    </row>
    <row r="1025" spans="1:13" x14ac:dyDescent="0.3">
      <c r="A1025" s="1" t="s">
        <v>1809</v>
      </c>
      <c r="B1025" s="2">
        <v>45893</v>
      </c>
      <c r="C1025" s="1" t="s">
        <v>1592</v>
      </c>
      <c r="D1025" s="1" t="s">
        <v>1593</v>
      </c>
      <c r="E1025" s="1" t="s">
        <v>37</v>
      </c>
      <c r="F1025" s="1" t="s">
        <v>25</v>
      </c>
      <c r="G1025" s="1" t="s">
        <v>44</v>
      </c>
      <c r="H1025" s="1" t="s">
        <v>90</v>
      </c>
      <c r="I1025">
        <v>8</v>
      </c>
      <c r="J1025">
        <v>56721.75</v>
      </c>
      <c r="K1025">
        <v>0.1</v>
      </c>
      <c r="L1025">
        <v>7814.17</v>
      </c>
      <c r="M1025" s="1" t="s">
        <v>50</v>
      </c>
    </row>
    <row r="1026" spans="1:13" x14ac:dyDescent="0.3">
      <c r="A1026" s="1" t="s">
        <v>1810</v>
      </c>
      <c r="B1026" s="2">
        <v>45991</v>
      </c>
      <c r="C1026" s="1" t="s">
        <v>1811</v>
      </c>
      <c r="D1026" s="1" t="s">
        <v>1812</v>
      </c>
      <c r="E1026" s="1" t="s">
        <v>43</v>
      </c>
      <c r="F1026" s="1" t="s">
        <v>17</v>
      </c>
      <c r="G1026" s="1" t="s">
        <v>32</v>
      </c>
      <c r="H1026" s="1" t="s">
        <v>54</v>
      </c>
      <c r="I1026">
        <v>2</v>
      </c>
      <c r="J1026">
        <v>17456.46</v>
      </c>
      <c r="K1026">
        <v>0.25</v>
      </c>
      <c r="L1026">
        <v>3061.07</v>
      </c>
      <c r="M1026" s="1" t="s">
        <v>50</v>
      </c>
    </row>
    <row r="1027" spans="1:13" x14ac:dyDescent="0.3">
      <c r="A1027" s="1" t="s">
        <v>1813</v>
      </c>
      <c r="B1027" s="2">
        <v>45794</v>
      </c>
      <c r="C1027" s="1" t="s">
        <v>1011</v>
      </c>
      <c r="D1027" s="1" t="s">
        <v>1012</v>
      </c>
      <c r="E1027" s="1" t="s">
        <v>24</v>
      </c>
      <c r="F1027" s="1" t="s">
        <v>25</v>
      </c>
      <c r="G1027" s="1" t="s">
        <v>18</v>
      </c>
      <c r="H1027" s="1" t="s">
        <v>97</v>
      </c>
      <c r="I1027">
        <v>7</v>
      </c>
      <c r="J1027">
        <v>9805.41</v>
      </c>
      <c r="K1027">
        <v>0.2</v>
      </c>
      <c r="L1027">
        <v>2504.1</v>
      </c>
      <c r="M1027" s="1" t="s">
        <v>55</v>
      </c>
    </row>
    <row r="1028" spans="1:13" x14ac:dyDescent="0.3">
      <c r="A1028" s="1" t="s">
        <v>1814</v>
      </c>
      <c r="B1028" s="2">
        <v>45733</v>
      </c>
      <c r="C1028" s="1" t="s">
        <v>22</v>
      </c>
      <c r="D1028" s="1" t="s">
        <v>23</v>
      </c>
      <c r="E1028" s="1" t="s">
        <v>24</v>
      </c>
      <c r="F1028" s="1" t="s">
        <v>25</v>
      </c>
      <c r="G1028" s="1" t="s">
        <v>44</v>
      </c>
      <c r="H1028" s="1" t="s">
        <v>75</v>
      </c>
      <c r="I1028">
        <v>9</v>
      </c>
      <c r="J1028">
        <v>71228.28</v>
      </c>
      <c r="K1028">
        <v>0.2</v>
      </c>
      <c r="L1028">
        <v>14331.58</v>
      </c>
      <c r="M1028" s="1" t="s">
        <v>50</v>
      </c>
    </row>
    <row r="1029" spans="1:13" x14ac:dyDescent="0.3">
      <c r="A1029" s="1" t="s">
        <v>1815</v>
      </c>
      <c r="B1029" s="2">
        <v>45692</v>
      </c>
      <c r="C1029" s="1" t="s">
        <v>554</v>
      </c>
      <c r="D1029" s="1" t="s">
        <v>555</v>
      </c>
      <c r="E1029" s="1" t="s">
        <v>24</v>
      </c>
      <c r="F1029" s="1" t="s">
        <v>25</v>
      </c>
      <c r="G1029" s="1" t="s">
        <v>32</v>
      </c>
      <c r="H1029" s="1" t="s">
        <v>79</v>
      </c>
      <c r="I1029">
        <v>2</v>
      </c>
      <c r="J1029">
        <v>36849</v>
      </c>
      <c r="K1029">
        <v>0.15</v>
      </c>
      <c r="L1029">
        <v>7321.21</v>
      </c>
      <c r="M1029" s="1" t="s">
        <v>55</v>
      </c>
    </row>
    <row r="1030" spans="1:13" x14ac:dyDescent="0.3">
      <c r="A1030" s="1" t="s">
        <v>1816</v>
      </c>
      <c r="B1030" s="2">
        <v>45658</v>
      </c>
      <c r="C1030" s="1" t="s">
        <v>571</v>
      </c>
      <c r="D1030" s="1" t="s">
        <v>572</v>
      </c>
      <c r="E1030" s="1" t="s">
        <v>16</v>
      </c>
      <c r="F1030" s="1" t="s">
        <v>25</v>
      </c>
      <c r="G1030" s="1" t="s">
        <v>44</v>
      </c>
      <c r="H1030" s="1" t="s">
        <v>90</v>
      </c>
      <c r="I1030">
        <v>1</v>
      </c>
      <c r="J1030">
        <v>8418.4</v>
      </c>
      <c r="K1030">
        <v>0.1</v>
      </c>
      <c r="L1030">
        <v>1875.13</v>
      </c>
      <c r="M1030" s="1" t="s">
        <v>55</v>
      </c>
    </row>
    <row r="1031" spans="1:13" x14ac:dyDescent="0.3">
      <c r="A1031" s="1" t="s">
        <v>1817</v>
      </c>
      <c r="B1031" s="2">
        <v>45953</v>
      </c>
      <c r="C1031" s="1" t="s">
        <v>30</v>
      </c>
      <c r="D1031" s="1" t="s">
        <v>31</v>
      </c>
      <c r="E1031" s="1" t="s">
        <v>37</v>
      </c>
      <c r="F1031" s="1" t="s">
        <v>69</v>
      </c>
      <c r="G1031" s="1" t="s">
        <v>18</v>
      </c>
      <c r="H1031" s="1" t="s">
        <v>122</v>
      </c>
      <c r="I1031">
        <v>8</v>
      </c>
      <c r="J1031">
        <v>13223.7</v>
      </c>
      <c r="K1031">
        <v>0.1</v>
      </c>
      <c r="L1031">
        <v>3864.79</v>
      </c>
      <c r="M1031" s="1" t="s">
        <v>50</v>
      </c>
    </row>
    <row r="1032" spans="1:13" x14ac:dyDescent="0.3">
      <c r="A1032" s="1" t="s">
        <v>1818</v>
      </c>
      <c r="B1032" s="2">
        <v>45977</v>
      </c>
      <c r="C1032" s="1" t="s">
        <v>1501</v>
      </c>
      <c r="D1032" s="1" t="s">
        <v>1502</v>
      </c>
      <c r="E1032" s="1" t="s">
        <v>37</v>
      </c>
      <c r="F1032" s="1" t="s">
        <v>17</v>
      </c>
      <c r="G1032" s="1" t="s">
        <v>44</v>
      </c>
      <c r="H1032" s="1" t="s">
        <v>75</v>
      </c>
      <c r="I1032">
        <v>7</v>
      </c>
      <c r="J1032">
        <v>79447.62</v>
      </c>
      <c r="K1032">
        <v>0.1</v>
      </c>
      <c r="L1032">
        <v>12952.99</v>
      </c>
      <c r="M1032" s="1" t="s">
        <v>55</v>
      </c>
    </row>
    <row r="1033" spans="1:13" x14ac:dyDescent="0.3">
      <c r="A1033" s="1" t="s">
        <v>1819</v>
      </c>
      <c r="B1033" s="2">
        <v>45717</v>
      </c>
      <c r="C1033" s="1" t="s">
        <v>175</v>
      </c>
      <c r="D1033" s="1" t="s">
        <v>176</v>
      </c>
      <c r="E1033" s="1" t="s">
        <v>74</v>
      </c>
      <c r="F1033" s="1" t="s">
        <v>69</v>
      </c>
      <c r="G1033" s="1" t="s">
        <v>18</v>
      </c>
      <c r="H1033" s="1" t="s">
        <v>122</v>
      </c>
      <c r="I1033">
        <v>1</v>
      </c>
      <c r="J1033">
        <v>1889.43</v>
      </c>
      <c r="K1033">
        <v>0.05</v>
      </c>
      <c r="L1033">
        <v>459.36</v>
      </c>
      <c r="M1033" s="1" t="s">
        <v>50</v>
      </c>
    </row>
    <row r="1034" spans="1:13" x14ac:dyDescent="0.3">
      <c r="A1034" s="1" t="s">
        <v>1820</v>
      </c>
      <c r="B1034" s="2">
        <v>45977</v>
      </c>
      <c r="C1034" s="1" t="s">
        <v>457</v>
      </c>
      <c r="D1034" s="1" t="s">
        <v>458</v>
      </c>
      <c r="E1034" s="1" t="s">
        <v>37</v>
      </c>
      <c r="F1034" s="1" t="s">
        <v>25</v>
      </c>
      <c r="G1034" s="1" t="s">
        <v>44</v>
      </c>
      <c r="H1034" s="1" t="s">
        <v>155</v>
      </c>
      <c r="I1034">
        <v>2</v>
      </c>
      <c r="J1034">
        <v>21618.1</v>
      </c>
      <c r="K1034">
        <v>0.15</v>
      </c>
      <c r="L1034">
        <v>3359.92</v>
      </c>
      <c r="M1034" s="1" t="s">
        <v>20</v>
      </c>
    </row>
    <row r="1035" spans="1:13" x14ac:dyDescent="0.3">
      <c r="A1035" s="1" t="s">
        <v>1821</v>
      </c>
      <c r="B1035" s="2">
        <v>46006</v>
      </c>
      <c r="C1035" s="1" t="s">
        <v>1007</v>
      </c>
      <c r="D1035" s="1" t="s">
        <v>1008</v>
      </c>
      <c r="E1035" s="1" t="s">
        <v>74</v>
      </c>
      <c r="F1035" s="1" t="s">
        <v>25</v>
      </c>
      <c r="G1035" s="1" t="s">
        <v>26</v>
      </c>
      <c r="H1035" s="1" t="s">
        <v>231</v>
      </c>
      <c r="I1035">
        <v>5</v>
      </c>
      <c r="J1035">
        <v>18154.55</v>
      </c>
      <c r="K1035">
        <v>0.2</v>
      </c>
      <c r="L1035">
        <v>5240.09</v>
      </c>
      <c r="M1035" s="1" t="s">
        <v>55</v>
      </c>
    </row>
    <row r="1036" spans="1:13" x14ac:dyDescent="0.3">
      <c r="A1036" s="1" t="s">
        <v>1822</v>
      </c>
      <c r="B1036" s="2">
        <v>45985</v>
      </c>
      <c r="C1036" s="1" t="s">
        <v>309</v>
      </c>
      <c r="D1036" s="1" t="s">
        <v>310</v>
      </c>
      <c r="E1036" s="1" t="s">
        <v>24</v>
      </c>
      <c r="F1036" s="1" t="s">
        <v>69</v>
      </c>
      <c r="G1036" s="1" t="s">
        <v>44</v>
      </c>
      <c r="H1036" s="1" t="s">
        <v>75</v>
      </c>
      <c r="I1036">
        <v>9</v>
      </c>
      <c r="J1036">
        <v>92163.71</v>
      </c>
      <c r="K1036">
        <v>0.1</v>
      </c>
      <c r="L1036">
        <v>16514</v>
      </c>
      <c r="M1036" s="1" t="s">
        <v>28</v>
      </c>
    </row>
    <row r="1037" spans="1:13" x14ac:dyDescent="0.3">
      <c r="A1037" s="1" t="s">
        <v>1823</v>
      </c>
      <c r="B1037" s="2">
        <v>45924</v>
      </c>
      <c r="C1037" s="1" t="s">
        <v>1186</v>
      </c>
      <c r="D1037" s="1" t="s">
        <v>1187</v>
      </c>
      <c r="E1037" s="1" t="s">
        <v>43</v>
      </c>
      <c r="F1037" s="1" t="s">
        <v>17</v>
      </c>
      <c r="G1037" s="1" t="s">
        <v>32</v>
      </c>
      <c r="H1037" s="1" t="s">
        <v>54</v>
      </c>
      <c r="I1037">
        <v>7</v>
      </c>
      <c r="J1037">
        <v>109548.41</v>
      </c>
      <c r="K1037">
        <v>0</v>
      </c>
      <c r="L1037">
        <v>20559.57</v>
      </c>
      <c r="M1037" s="1" t="s">
        <v>20</v>
      </c>
    </row>
    <row r="1038" spans="1:13" x14ac:dyDescent="0.3">
      <c r="A1038" s="1" t="s">
        <v>1824</v>
      </c>
      <c r="B1038" s="2">
        <v>46018</v>
      </c>
      <c r="C1038" s="1" t="s">
        <v>761</v>
      </c>
      <c r="D1038" s="1" t="s">
        <v>762</v>
      </c>
      <c r="E1038" s="1" t="s">
        <v>16</v>
      </c>
      <c r="F1038" s="1" t="s">
        <v>25</v>
      </c>
      <c r="G1038" s="1" t="s">
        <v>18</v>
      </c>
      <c r="H1038" s="1" t="s">
        <v>145</v>
      </c>
      <c r="I1038">
        <v>8</v>
      </c>
      <c r="J1038">
        <v>9100.9699999999993</v>
      </c>
      <c r="K1038">
        <v>0.15</v>
      </c>
      <c r="L1038">
        <v>2441.6</v>
      </c>
      <c r="M1038" s="1" t="s">
        <v>28</v>
      </c>
    </row>
    <row r="1039" spans="1:13" x14ac:dyDescent="0.3">
      <c r="A1039" s="1" t="s">
        <v>1825</v>
      </c>
      <c r="B1039" s="2">
        <v>45886</v>
      </c>
      <c r="C1039" s="1" t="s">
        <v>22</v>
      </c>
      <c r="D1039" s="1" t="s">
        <v>23</v>
      </c>
      <c r="E1039" s="1" t="s">
        <v>16</v>
      </c>
      <c r="F1039" s="1" t="s">
        <v>25</v>
      </c>
      <c r="G1039" s="1" t="s">
        <v>44</v>
      </c>
      <c r="H1039" s="1" t="s">
        <v>70</v>
      </c>
      <c r="I1039">
        <v>10</v>
      </c>
      <c r="J1039">
        <v>70848.17</v>
      </c>
      <c r="K1039">
        <v>0.15</v>
      </c>
      <c r="L1039">
        <v>15164.69</v>
      </c>
      <c r="M1039" s="1" t="s">
        <v>55</v>
      </c>
    </row>
    <row r="1040" spans="1:13" x14ac:dyDescent="0.3">
      <c r="A1040" s="1" t="s">
        <v>1826</v>
      </c>
      <c r="B1040" s="2">
        <v>45927</v>
      </c>
      <c r="C1040" s="1" t="s">
        <v>883</v>
      </c>
      <c r="D1040" s="1" t="s">
        <v>884</v>
      </c>
      <c r="E1040" s="1" t="s">
        <v>16</v>
      </c>
      <c r="F1040" s="1" t="s">
        <v>69</v>
      </c>
      <c r="G1040" s="1" t="s">
        <v>26</v>
      </c>
      <c r="H1040" s="1" t="s">
        <v>27</v>
      </c>
      <c r="I1040">
        <v>9</v>
      </c>
      <c r="J1040">
        <v>26359.64</v>
      </c>
      <c r="K1040">
        <v>0.25</v>
      </c>
      <c r="L1040">
        <v>7011.57</v>
      </c>
      <c r="M1040" s="1" t="s">
        <v>50</v>
      </c>
    </row>
    <row r="1041" spans="1:13" x14ac:dyDescent="0.3">
      <c r="A1041" s="1" t="s">
        <v>1827</v>
      </c>
      <c r="B1041" s="2">
        <v>45973</v>
      </c>
      <c r="C1041" s="1" t="s">
        <v>1402</v>
      </c>
      <c r="D1041" s="1" t="s">
        <v>1403</v>
      </c>
      <c r="E1041" s="1" t="s">
        <v>43</v>
      </c>
      <c r="F1041" s="1" t="s">
        <v>25</v>
      </c>
      <c r="G1041" s="1" t="s">
        <v>18</v>
      </c>
      <c r="H1041" s="1" t="s">
        <v>97</v>
      </c>
      <c r="I1041">
        <v>6</v>
      </c>
      <c r="J1041">
        <v>11405.82</v>
      </c>
      <c r="K1041">
        <v>0.1</v>
      </c>
      <c r="L1041">
        <v>2799.01</v>
      </c>
      <c r="M1041" s="1" t="s">
        <v>28</v>
      </c>
    </row>
    <row r="1042" spans="1:13" x14ac:dyDescent="0.3">
      <c r="A1042" s="1" t="s">
        <v>1828</v>
      </c>
      <c r="B1042" s="2">
        <v>45943</v>
      </c>
      <c r="C1042" s="1" t="s">
        <v>1116</v>
      </c>
      <c r="D1042" s="1" t="s">
        <v>1117</v>
      </c>
      <c r="E1042" s="1" t="s">
        <v>24</v>
      </c>
      <c r="F1042" s="1" t="s">
        <v>17</v>
      </c>
      <c r="G1042" s="1" t="s">
        <v>32</v>
      </c>
      <c r="H1042" s="1" t="s">
        <v>33</v>
      </c>
      <c r="I1042">
        <v>6</v>
      </c>
      <c r="J1042">
        <v>80570.83</v>
      </c>
      <c r="K1042">
        <v>0.25</v>
      </c>
      <c r="L1042">
        <v>20424.46</v>
      </c>
      <c r="M1042" s="1" t="s">
        <v>39</v>
      </c>
    </row>
    <row r="1043" spans="1:13" x14ac:dyDescent="0.3">
      <c r="A1043" s="1" t="s">
        <v>1829</v>
      </c>
      <c r="B1043" s="2">
        <v>45948</v>
      </c>
      <c r="C1043" s="1" t="s">
        <v>564</v>
      </c>
      <c r="D1043" s="1" t="s">
        <v>565</v>
      </c>
      <c r="E1043" s="1" t="s">
        <v>24</v>
      </c>
      <c r="F1043" s="1" t="s">
        <v>25</v>
      </c>
      <c r="G1043" s="1" t="s">
        <v>26</v>
      </c>
      <c r="H1043" s="1" t="s">
        <v>27</v>
      </c>
      <c r="I1043">
        <v>9</v>
      </c>
      <c r="J1043">
        <v>25262.44</v>
      </c>
      <c r="K1043">
        <v>0.1</v>
      </c>
      <c r="L1043">
        <v>5104.26</v>
      </c>
      <c r="M1043" s="1" t="s">
        <v>28</v>
      </c>
    </row>
    <row r="1044" spans="1:13" x14ac:dyDescent="0.3">
      <c r="A1044" s="1" t="s">
        <v>1830</v>
      </c>
      <c r="B1044" s="2">
        <v>45870</v>
      </c>
      <c r="C1044" s="1" t="s">
        <v>901</v>
      </c>
      <c r="D1044" s="1" t="s">
        <v>902</v>
      </c>
      <c r="E1044" s="1" t="s">
        <v>37</v>
      </c>
      <c r="F1044" s="1" t="s">
        <v>25</v>
      </c>
      <c r="G1044" s="1" t="s">
        <v>18</v>
      </c>
      <c r="H1044" s="1" t="s">
        <v>19</v>
      </c>
      <c r="I1044">
        <v>2</v>
      </c>
      <c r="J1044">
        <v>3017.29</v>
      </c>
      <c r="K1044">
        <v>0.15</v>
      </c>
      <c r="L1044">
        <v>947.6</v>
      </c>
      <c r="M1044" s="1" t="s">
        <v>50</v>
      </c>
    </row>
    <row r="1045" spans="1:13" x14ac:dyDescent="0.3">
      <c r="A1045" s="1" t="s">
        <v>1831</v>
      </c>
      <c r="B1045" s="2">
        <v>45822</v>
      </c>
      <c r="C1045" s="1" t="s">
        <v>1832</v>
      </c>
      <c r="D1045" s="1" t="s">
        <v>1833</v>
      </c>
      <c r="E1045" s="1" t="s">
        <v>16</v>
      </c>
      <c r="F1045" s="1" t="s">
        <v>25</v>
      </c>
      <c r="G1045" s="1" t="s">
        <v>32</v>
      </c>
      <c r="H1045" s="1" t="s">
        <v>54</v>
      </c>
      <c r="I1045">
        <v>3</v>
      </c>
      <c r="J1045">
        <v>39208.03</v>
      </c>
      <c r="K1045">
        <v>0.1</v>
      </c>
      <c r="L1045">
        <v>7651.5</v>
      </c>
      <c r="M1045" s="1" t="s">
        <v>50</v>
      </c>
    </row>
    <row r="1046" spans="1:13" x14ac:dyDescent="0.3">
      <c r="A1046" s="1" t="s">
        <v>1834</v>
      </c>
      <c r="B1046" s="2">
        <v>45662</v>
      </c>
      <c r="C1046" s="1" t="s">
        <v>349</v>
      </c>
      <c r="D1046" s="1" t="s">
        <v>350</v>
      </c>
      <c r="E1046" s="1" t="s">
        <v>37</v>
      </c>
      <c r="F1046" s="1" t="s">
        <v>25</v>
      </c>
      <c r="G1046" s="1" t="s">
        <v>44</v>
      </c>
      <c r="H1046" s="1" t="s">
        <v>70</v>
      </c>
      <c r="I1046">
        <v>8</v>
      </c>
      <c r="J1046">
        <v>34045.550000000003</v>
      </c>
      <c r="K1046">
        <v>0.2</v>
      </c>
      <c r="L1046">
        <v>6562.69</v>
      </c>
      <c r="M1046" s="1" t="s">
        <v>55</v>
      </c>
    </row>
    <row r="1047" spans="1:13" x14ac:dyDescent="0.3">
      <c r="A1047" s="1" t="s">
        <v>1835</v>
      </c>
      <c r="B1047" s="2">
        <v>45996</v>
      </c>
      <c r="C1047" s="1" t="s">
        <v>1332</v>
      </c>
      <c r="D1047" s="1" t="s">
        <v>1333</v>
      </c>
      <c r="E1047" s="1" t="s">
        <v>74</v>
      </c>
      <c r="F1047" s="1" t="s">
        <v>25</v>
      </c>
      <c r="G1047" s="1" t="s">
        <v>32</v>
      </c>
      <c r="H1047" s="1" t="s">
        <v>38</v>
      </c>
      <c r="I1047">
        <v>3</v>
      </c>
      <c r="J1047">
        <v>46370.43</v>
      </c>
      <c r="K1047">
        <v>0.05</v>
      </c>
      <c r="L1047">
        <v>10334.25</v>
      </c>
      <c r="M1047" s="1" t="s">
        <v>50</v>
      </c>
    </row>
    <row r="1048" spans="1:13" x14ac:dyDescent="0.3">
      <c r="A1048" s="1" t="s">
        <v>1836</v>
      </c>
      <c r="B1048" s="2">
        <v>45735</v>
      </c>
      <c r="C1048" s="1" t="s">
        <v>1757</v>
      </c>
      <c r="D1048" s="1" t="s">
        <v>1758</v>
      </c>
      <c r="E1048" s="1" t="s">
        <v>24</v>
      </c>
      <c r="F1048" s="1" t="s">
        <v>25</v>
      </c>
      <c r="G1048" s="1" t="s">
        <v>32</v>
      </c>
      <c r="H1048" s="1" t="s">
        <v>54</v>
      </c>
      <c r="I1048">
        <v>9</v>
      </c>
      <c r="J1048">
        <v>92963.839999999997</v>
      </c>
      <c r="K1048">
        <v>0.15</v>
      </c>
      <c r="L1048">
        <v>19817.41</v>
      </c>
      <c r="M1048" s="1" t="s">
        <v>55</v>
      </c>
    </row>
    <row r="1049" spans="1:13" x14ac:dyDescent="0.3">
      <c r="A1049" s="1" t="s">
        <v>1837</v>
      </c>
      <c r="B1049" s="2">
        <v>45719</v>
      </c>
      <c r="C1049" s="1" t="s">
        <v>1218</v>
      </c>
      <c r="D1049" s="1" t="s">
        <v>1219</v>
      </c>
      <c r="E1049" s="1" t="s">
        <v>74</v>
      </c>
      <c r="F1049" s="1" t="s">
        <v>25</v>
      </c>
      <c r="G1049" s="1" t="s">
        <v>18</v>
      </c>
      <c r="H1049" s="1" t="s">
        <v>141</v>
      </c>
      <c r="I1049">
        <v>9</v>
      </c>
      <c r="J1049">
        <v>19395.18</v>
      </c>
      <c r="K1049">
        <v>0.1</v>
      </c>
      <c r="L1049">
        <v>5085.99</v>
      </c>
      <c r="M1049" s="1" t="s">
        <v>50</v>
      </c>
    </row>
    <row r="1050" spans="1:13" x14ac:dyDescent="0.3">
      <c r="A1050" s="1" t="s">
        <v>1838</v>
      </c>
      <c r="B1050" s="2">
        <v>45789</v>
      </c>
      <c r="C1050" s="1" t="s">
        <v>285</v>
      </c>
      <c r="D1050" s="1" t="s">
        <v>286</v>
      </c>
      <c r="E1050" s="1" t="s">
        <v>37</v>
      </c>
      <c r="F1050" s="1" t="s">
        <v>17</v>
      </c>
      <c r="G1050" s="1" t="s">
        <v>26</v>
      </c>
      <c r="H1050" s="1" t="s">
        <v>244</v>
      </c>
      <c r="I1050">
        <v>6</v>
      </c>
      <c r="J1050">
        <v>11666.55</v>
      </c>
      <c r="K1050">
        <v>0.05</v>
      </c>
      <c r="L1050">
        <v>3297.72</v>
      </c>
      <c r="M1050" s="1" t="s">
        <v>20</v>
      </c>
    </row>
    <row r="1051" spans="1:13" x14ac:dyDescent="0.3">
      <c r="A1051" s="1" t="s">
        <v>1839</v>
      </c>
      <c r="B1051" s="2">
        <v>45746</v>
      </c>
      <c r="C1051" s="1" t="s">
        <v>682</v>
      </c>
      <c r="D1051" s="1" t="s">
        <v>683</v>
      </c>
      <c r="E1051" s="1" t="s">
        <v>74</v>
      </c>
      <c r="F1051" s="1" t="s">
        <v>25</v>
      </c>
      <c r="G1051" s="1" t="s">
        <v>18</v>
      </c>
      <c r="H1051" s="1" t="s">
        <v>19</v>
      </c>
      <c r="I1051">
        <v>6</v>
      </c>
      <c r="J1051">
        <v>13641.83</v>
      </c>
      <c r="K1051">
        <v>0.1</v>
      </c>
      <c r="L1051">
        <v>3550.13</v>
      </c>
      <c r="M1051" s="1" t="s">
        <v>20</v>
      </c>
    </row>
    <row r="1052" spans="1:13" x14ac:dyDescent="0.3">
      <c r="A1052" s="1" t="s">
        <v>1840</v>
      </c>
      <c r="B1052" s="2">
        <v>45894</v>
      </c>
      <c r="C1052" s="1" t="s">
        <v>217</v>
      </c>
      <c r="D1052" s="1" t="s">
        <v>218</v>
      </c>
      <c r="E1052" s="1" t="s">
        <v>74</v>
      </c>
      <c r="F1052" s="1" t="s">
        <v>69</v>
      </c>
      <c r="G1052" s="1" t="s">
        <v>18</v>
      </c>
      <c r="H1052" s="1" t="s">
        <v>141</v>
      </c>
      <c r="I1052">
        <v>6</v>
      </c>
      <c r="J1052">
        <v>14853.26</v>
      </c>
      <c r="K1052">
        <v>0</v>
      </c>
      <c r="L1052">
        <v>3670.03</v>
      </c>
      <c r="M1052" s="1" t="s">
        <v>55</v>
      </c>
    </row>
    <row r="1053" spans="1:13" x14ac:dyDescent="0.3">
      <c r="A1053" s="1" t="s">
        <v>1841</v>
      </c>
      <c r="B1053" s="2">
        <v>45699</v>
      </c>
      <c r="C1053" s="1" t="s">
        <v>320</v>
      </c>
      <c r="D1053" s="1" t="s">
        <v>321</v>
      </c>
      <c r="E1053" s="1" t="s">
        <v>37</v>
      </c>
      <c r="F1053" s="1" t="s">
        <v>25</v>
      </c>
      <c r="G1053" s="1" t="s">
        <v>18</v>
      </c>
      <c r="H1053" s="1" t="s">
        <v>145</v>
      </c>
      <c r="I1053">
        <v>7</v>
      </c>
      <c r="J1053">
        <v>11174.32</v>
      </c>
      <c r="K1053">
        <v>0.1</v>
      </c>
      <c r="L1053">
        <v>3213.42</v>
      </c>
      <c r="M1053" s="1" t="s">
        <v>50</v>
      </c>
    </row>
    <row r="1054" spans="1:13" x14ac:dyDescent="0.3">
      <c r="A1054" s="1" t="s">
        <v>1842</v>
      </c>
      <c r="B1054" s="2">
        <v>45746</v>
      </c>
      <c r="C1054" s="1" t="s">
        <v>1676</v>
      </c>
      <c r="D1054" s="1" t="s">
        <v>1677</v>
      </c>
      <c r="E1054" s="1" t="s">
        <v>24</v>
      </c>
      <c r="F1054" s="1" t="s">
        <v>69</v>
      </c>
      <c r="G1054" s="1" t="s">
        <v>44</v>
      </c>
      <c r="H1054" s="1" t="s">
        <v>75</v>
      </c>
      <c r="I1054">
        <v>2</v>
      </c>
      <c r="J1054">
        <v>9517.01</v>
      </c>
      <c r="K1054">
        <v>0.25</v>
      </c>
      <c r="L1054">
        <v>1323.83</v>
      </c>
      <c r="M1054" s="1" t="s">
        <v>28</v>
      </c>
    </row>
    <row r="1055" spans="1:13" x14ac:dyDescent="0.3">
      <c r="A1055" s="1" t="s">
        <v>1843</v>
      </c>
      <c r="B1055" s="2">
        <v>45953</v>
      </c>
      <c r="C1055" s="1" t="s">
        <v>1096</v>
      </c>
      <c r="D1055" s="1" t="s">
        <v>1097</v>
      </c>
      <c r="E1055" s="1" t="s">
        <v>74</v>
      </c>
      <c r="F1055" s="1" t="s">
        <v>25</v>
      </c>
      <c r="G1055" s="1" t="s">
        <v>32</v>
      </c>
      <c r="H1055" s="1" t="s">
        <v>33</v>
      </c>
      <c r="I1055">
        <v>6</v>
      </c>
      <c r="J1055">
        <v>81417.350000000006</v>
      </c>
      <c r="K1055">
        <v>0.15</v>
      </c>
      <c r="L1055">
        <v>20724.13</v>
      </c>
      <c r="M1055" s="1" t="s">
        <v>28</v>
      </c>
    </row>
    <row r="1056" spans="1:13" x14ac:dyDescent="0.3">
      <c r="A1056" s="1" t="s">
        <v>1844</v>
      </c>
      <c r="B1056" s="2">
        <v>45985</v>
      </c>
      <c r="C1056" s="1" t="s">
        <v>1060</v>
      </c>
      <c r="D1056" s="1" t="s">
        <v>1061</v>
      </c>
      <c r="E1056" s="1" t="s">
        <v>16</v>
      </c>
      <c r="F1056" s="1" t="s">
        <v>17</v>
      </c>
      <c r="G1056" s="1" t="s">
        <v>18</v>
      </c>
      <c r="H1056" s="1" t="s">
        <v>145</v>
      </c>
      <c r="I1056">
        <v>6</v>
      </c>
      <c r="J1056">
        <v>13352.6</v>
      </c>
      <c r="K1056">
        <v>0.1</v>
      </c>
      <c r="L1056">
        <v>4394.08</v>
      </c>
      <c r="M1056" s="1" t="s">
        <v>55</v>
      </c>
    </row>
    <row r="1057" spans="1:13" x14ac:dyDescent="0.3">
      <c r="A1057" s="1" t="s">
        <v>1845</v>
      </c>
      <c r="B1057" s="2">
        <v>45952</v>
      </c>
      <c r="C1057" s="1" t="s">
        <v>169</v>
      </c>
      <c r="D1057" s="1" t="s">
        <v>170</v>
      </c>
      <c r="E1057" s="1" t="s">
        <v>24</v>
      </c>
      <c r="F1057" s="1" t="s">
        <v>25</v>
      </c>
      <c r="G1057" s="1" t="s">
        <v>18</v>
      </c>
      <c r="H1057" s="1" t="s">
        <v>145</v>
      </c>
      <c r="I1057">
        <v>5</v>
      </c>
      <c r="J1057">
        <v>10408.69</v>
      </c>
      <c r="K1057">
        <v>0.2</v>
      </c>
      <c r="L1057">
        <v>2539.23</v>
      </c>
      <c r="M1057" s="1" t="s">
        <v>20</v>
      </c>
    </row>
    <row r="1058" spans="1:13" x14ac:dyDescent="0.3">
      <c r="A1058" s="1" t="s">
        <v>1846</v>
      </c>
      <c r="B1058" s="2">
        <v>45761</v>
      </c>
      <c r="C1058" s="1" t="s">
        <v>648</v>
      </c>
      <c r="D1058" s="1" t="s">
        <v>649</v>
      </c>
      <c r="E1058" s="1" t="s">
        <v>74</v>
      </c>
      <c r="F1058" s="1" t="s">
        <v>25</v>
      </c>
      <c r="G1058" s="1" t="s">
        <v>44</v>
      </c>
      <c r="H1058" s="1" t="s">
        <v>70</v>
      </c>
      <c r="I1058">
        <v>6</v>
      </c>
      <c r="J1058">
        <v>53185.5</v>
      </c>
      <c r="K1058">
        <v>0.15</v>
      </c>
      <c r="L1058">
        <v>7398.45</v>
      </c>
      <c r="M1058" s="1" t="s">
        <v>55</v>
      </c>
    </row>
    <row r="1059" spans="1:13" x14ac:dyDescent="0.3">
      <c r="A1059" s="1" t="s">
        <v>1847</v>
      </c>
      <c r="B1059" s="2">
        <v>45671</v>
      </c>
      <c r="C1059" s="1" t="s">
        <v>1096</v>
      </c>
      <c r="D1059" s="1" t="s">
        <v>1097</v>
      </c>
      <c r="E1059" s="1" t="s">
        <v>74</v>
      </c>
      <c r="F1059" s="1" t="s">
        <v>69</v>
      </c>
      <c r="G1059" s="1" t="s">
        <v>32</v>
      </c>
      <c r="H1059" s="1" t="s">
        <v>79</v>
      </c>
      <c r="I1059">
        <v>2</v>
      </c>
      <c r="J1059">
        <v>25369.93</v>
      </c>
      <c r="K1059">
        <v>0.05</v>
      </c>
      <c r="L1059">
        <v>5958.75</v>
      </c>
      <c r="M1059" s="1" t="s">
        <v>20</v>
      </c>
    </row>
    <row r="1060" spans="1:13" x14ac:dyDescent="0.3">
      <c r="A1060" s="1" t="s">
        <v>1848</v>
      </c>
      <c r="B1060" s="2">
        <v>45945</v>
      </c>
      <c r="C1060" s="1" t="s">
        <v>386</v>
      </c>
      <c r="D1060" s="1" t="s">
        <v>387</v>
      </c>
      <c r="E1060" s="1" t="s">
        <v>24</v>
      </c>
      <c r="F1060" s="1" t="s">
        <v>25</v>
      </c>
      <c r="G1060" s="1" t="s">
        <v>44</v>
      </c>
      <c r="H1060" s="1" t="s">
        <v>45</v>
      </c>
      <c r="I1060">
        <v>5</v>
      </c>
      <c r="J1060">
        <v>43476.62</v>
      </c>
      <c r="K1060">
        <v>0.2</v>
      </c>
      <c r="L1060">
        <v>7378.88</v>
      </c>
      <c r="M1060" s="1" t="s">
        <v>28</v>
      </c>
    </row>
    <row r="1061" spans="1:13" x14ac:dyDescent="0.3">
      <c r="A1061" s="1" t="s">
        <v>1849</v>
      </c>
      <c r="B1061" s="2">
        <v>45836</v>
      </c>
      <c r="C1061" s="1" t="s">
        <v>628</v>
      </c>
      <c r="D1061" s="1" t="s">
        <v>629</v>
      </c>
      <c r="E1061" s="1" t="s">
        <v>43</v>
      </c>
      <c r="F1061" s="1" t="s">
        <v>25</v>
      </c>
      <c r="G1061" s="1" t="s">
        <v>26</v>
      </c>
      <c r="H1061" s="1" t="s">
        <v>27</v>
      </c>
      <c r="I1061">
        <v>8</v>
      </c>
      <c r="J1061">
        <v>28749.52</v>
      </c>
      <c r="K1061">
        <v>0</v>
      </c>
      <c r="L1061">
        <v>6891.01</v>
      </c>
      <c r="M1061" s="1" t="s">
        <v>55</v>
      </c>
    </row>
    <row r="1062" spans="1:13" x14ac:dyDescent="0.3">
      <c r="A1062" s="1" t="s">
        <v>1850</v>
      </c>
      <c r="B1062" s="2">
        <v>45782</v>
      </c>
      <c r="C1062" s="1" t="s">
        <v>617</v>
      </c>
      <c r="D1062" s="1" t="s">
        <v>618</v>
      </c>
      <c r="E1062" s="1" t="s">
        <v>74</v>
      </c>
      <c r="F1062" s="1" t="s">
        <v>69</v>
      </c>
      <c r="G1062" s="1" t="s">
        <v>44</v>
      </c>
      <c r="H1062" s="1" t="s">
        <v>75</v>
      </c>
      <c r="I1062">
        <v>5</v>
      </c>
      <c r="J1062">
        <v>46834.74</v>
      </c>
      <c r="K1062">
        <v>0.2</v>
      </c>
      <c r="L1062">
        <v>9337.06</v>
      </c>
      <c r="M1062" s="1" t="s">
        <v>39</v>
      </c>
    </row>
    <row r="1063" spans="1:13" x14ac:dyDescent="0.3">
      <c r="A1063" s="1" t="s">
        <v>1851</v>
      </c>
      <c r="B1063" s="2">
        <v>46010</v>
      </c>
      <c r="C1063" s="1" t="s">
        <v>621</v>
      </c>
      <c r="D1063" s="1" t="s">
        <v>622</v>
      </c>
      <c r="E1063" s="1" t="s">
        <v>43</v>
      </c>
      <c r="F1063" s="1" t="s">
        <v>25</v>
      </c>
      <c r="G1063" s="1" t="s">
        <v>44</v>
      </c>
      <c r="H1063" s="1" t="s">
        <v>75</v>
      </c>
      <c r="I1063">
        <v>1</v>
      </c>
      <c r="J1063">
        <v>7791.5</v>
      </c>
      <c r="K1063">
        <v>0.2</v>
      </c>
      <c r="L1063">
        <v>1179.99</v>
      </c>
      <c r="M1063" s="1" t="s">
        <v>28</v>
      </c>
    </row>
    <row r="1064" spans="1:13" x14ac:dyDescent="0.3">
      <c r="A1064" s="1" t="s">
        <v>1852</v>
      </c>
      <c r="B1064" s="2">
        <v>45680</v>
      </c>
      <c r="C1064" s="1" t="s">
        <v>628</v>
      </c>
      <c r="D1064" s="1" t="s">
        <v>629</v>
      </c>
      <c r="E1064" s="1" t="s">
        <v>74</v>
      </c>
      <c r="F1064" s="1" t="s">
        <v>17</v>
      </c>
      <c r="G1064" s="1" t="s">
        <v>26</v>
      </c>
      <c r="H1064" s="1" t="s">
        <v>231</v>
      </c>
      <c r="I1064">
        <v>2</v>
      </c>
      <c r="J1064">
        <v>5254.82</v>
      </c>
      <c r="K1064">
        <v>0.1</v>
      </c>
      <c r="L1064">
        <v>1521.14</v>
      </c>
      <c r="M1064" s="1" t="s">
        <v>55</v>
      </c>
    </row>
    <row r="1065" spans="1:13" x14ac:dyDescent="0.3">
      <c r="A1065" s="1" t="s">
        <v>1853</v>
      </c>
      <c r="B1065" s="2">
        <v>45720</v>
      </c>
      <c r="C1065" s="1" t="s">
        <v>485</v>
      </c>
      <c r="D1065" s="1" t="s">
        <v>486</v>
      </c>
      <c r="E1065" s="1" t="s">
        <v>43</v>
      </c>
      <c r="F1065" s="1" t="s">
        <v>25</v>
      </c>
      <c r="G1065" s="1" t="s">
        <v>44</v>
      </c>
      <c r="H1065" s="1" t="s">
        <v>75</v>
      </c>
      <c r="I1065">
        <v>10</v>
      </c>
      <c r="J1065">
        <v>111639.16</v>
      </c>
      <c r="K1065">
        <v>0.15</v>
      </c>
      <c r="L1065">
        <v>22665.48</v>
      </c>
      <c r="M1065" s="1" t="s">
        <v>55</v>
      </c>
    </row>
    <row r="1066" spans="1:13" x14ac:dyDescent="0.3">
      <c r="A1066" s="1" t="s">
        <v>1854</v>
      </c>
      <c r="B1066" s="2">
        <v>45800</v>
      </c>
      <c r="C1066" s="1" t="s">
        <v>1530</v>
      </c>
      <c r="D1066" s="1" t="s">
        <v>1531</v>
      </c>
      <c r="E1066" s="1" t="s">
        <v>24</v>
      </c>
      <c r="F1066" s="1" t="s">
        <v>25</v>
      </c>
      <c r="G1066" s="1" t="s">
        <v>44</v>
      </c>
      <c r="H1066" s="1" t="s">
        <v>70</v>
      </c>
      <c r="I1066">
        <v>6</v>
      </c>
      <c r="J1066">
        <v>29603.27</v>
      </c>
      <c r="K1066">
        <v>0.2</v>
      </c>
      <c r="L1066">
        <v>4484.96</v>
      </c>
      <c r="M1066" s="1" t="s">
        <v>28</v>
      </c>
    </row>
    <row r="1067" spans="1:13" x14ac:dyDescent="0.3">
      <c r="A1067" s="1" t="s">
        <v>1855</v>
      </c>
      <c r="B1067" s="2">
        <v>45810</v>
      </c>
      <c r="C1067" s="1" t="s">
        <v>1501</v>
      </c>
      <c r="D1067" s="1" t="s">
        <v>1502</v>
      </c>
      <c r="E1067" s="1" t="s">
        <v>16</v>
      </c>
      <c r="F1067" s="1" t="s">
        <v>25</v>
      </c>
      <c r="G1067" s="1" t="s">
        <v>32</v>
      </c>
      <c r="H1067" s="1" t="s">
        <v>54</v>
      </c>
      <c r="I1067">
        <v>7</v>
      </c>
      <c r="J1067">
        <v>125009.37</v>
      </c>
      <c r="K1067">
        <v>0.15</v>
      </c>
      <c r="L1067">
        <v>21437.47</v>
      </c>
      <c r="M1067" s="1" t="s">
        <v>55</v>
      </c>
    </row>
    <row r="1068" spans="1:13" x14ac:dyDescent="0.3">
      <c r="A1068" s="1" t="s">
        <v>1856</v>
      </c>
      <c r="B1068" s="2">
        <v>45802</v>
      </c>
      <c r="C1068" s="1" t="s">
        <v>1007</v>
      </c>
      <c r="D1068" s="1" t="s">
        <v>1008</v>
      </c>
      <c r="E1068" s="1" t="s">
        <v>24</v>
      </c>
      <c r="F1068" s="1" t="s">
        <v>25</v>
      </c>
      <c r="G1068" s="1" t="s">
        <v>32</v>
      </c>
      <c r="H1068" s="1" t="s">
        <v>33</v>
      </c>
      <c r="I1068">
        <v>2</v>
      </c>
      <c r="J1068">
        <v>18029.900000000001</v>
      </c>
      <c r="K1068">
        <v>0.25</v>
      </c>
      <c r="L1068">
        <v>3134.71</v>
      </c>
      <c r="M1068" s="1" t="s">
        <v>28</v>
      </c>
    </row>
    <row r="1069" spans="1:13" x14ac:dyDescent="0.3">
      <c r="A1069" s="1" t="s">
        <v>1857</v>
      </c>
      <c r="B1069" s="2">
        <v>45882</v>
      </c>
      <c r="C1069" s="1" t="s">
        <v>434</v>
      </c>
      <c r="D1069" s="1" t="s">
        <v>435</v>
      </c>
      <c r="E1069" s="1" t="s">
        <v>16</v>
      </c>
      <c r="F1069" s="1" t="s">
        <v>25</v>
      </c>
      <c r="G1069" s="1" t="s">
        <v>32</v>
      </c>
      <c r="H1069" s="1" t="s">
        <v>59</v>
      </c>
      <c r="I1069">
        <v>7</v>
      </c>
      <c r="J1069">
        <v>112666.44</v>
      </c>
      <c r="K1069">
        <v>0.1</v>
      </c>
      <c r="L1069">
        <v>21230.51</v>
      </c>
      <c r="M1069" s="1" t="s">
        <v>55</v>
      </c>
    </row>
    <row r="1070" spans="1:13" x14ac:dyDescent="0.3">
      <c r="A1070" s="1" t="s">
        <v>1858</v>
      </c>
      <c r="B1070" s="2">
        <v>45966</v>
      </c>
      <c r="C1070" s="1" t="s">
        <v>1248</v>
      </c>
      <c r="D1070" s="1" t="s">
        <v>1249</v>
      </c>
      <c r="E1070" s="1" t="s">
        <v>43</v>
      </c>
      <c r="F1070" s="1" t="s">
        <v>69</v>
      </c>
      <c r="G1070" s="1" t="s">
        <v>32</v>
      </c>
      <c r="H1070" s="1" t="s">
        <v>59</v>
      </c>
      <c r="I1070">
        <v>3</v>
      </c>
      <c r="J1070">
        <v>50911.81</v>
      </c>
      <c r="K1070">
        <v>0</v>
      </c>
      <c r="L1070">
        <v>11480.71</v>
      </c>
      <c r="M1070" s="1" t="s">
        <v>28</v>
      </c>
    </row>
    <row r="1071" spans="1:13" x14ac:dyDescent="0.3">
      <c r="A1071" s="1" t="s">
        <v>1859</v>
      </c>
      <c r="B1071" s="2">
        <v>45761</v>
      </c>
      <c r="C1071" s="1" t="s">
        <v>628</v>
      </c>
      <c r="D1071" s="1" t="s">
        <v>629</v>
      </c>
      <c r="E1071" s="1" t="s">
        <v>24</v>
      </c>
      <c r="F1071" s="1" t="s">
        <v>17</v>
      </c>
      <c r="G1071" s="1" t="s">
        <v>26</v>
      </c>
      <c r="H1071" s="1" t="s">
        <v>27</v>
      </c>
      <c r="I1071">
        <v>4</v>
      </c>
      <c r="J1071">
        <v>13000.12</v>
      </c>
      <c r="K1071">
        <v>0.1</v>
      </c>
      <c r="L1071">
        <v>3834.52</v>
      </c>
      <c r="M1071" s="1" t="s">
        <v>55</v>
      </c>
    </row>
    <row r="1072" spans="1:13" x14ac:dyDescent="0.3">
      <c r="A1072" s="1" t="s">
        <v>1860</v>
      </c>
      <c r="B1072" s="2">
        <v>45761</v>
      </c>
      <c r="C1072" s="1" t="s">
        <v>208</v>
      </c>
      <c r="D1072" s="1" t="s">
        <v>209</v>
      </c>
      <c r="E1072" s="1" t="s">
        <v>43</v>
      </c>
      <c r="F1072" s="1" t="s">
        <v>25</v>
      </c>
      <c r="G1072" s="1" t="s">
        <v>32</v>
      </c>
      <c r="H1072" s="1" t="s">
        <v>38</v>
      </c>
      <c r="I1072">
        <v>8</v>
      </c>
      <c r="J1072">
        <v>90253.75</v>
      </c>
      <c r="K1072">
        <v>0.25</v>
      </c>
      <c r="L1072">
        <v>20332.64</v>
      </c>
      <c r="M1072" s="1" t="s">
        <v>28</v>
      </c>
    </row>
    <row r="1073" spans="1:13" x14ac:dyDescent="0.3">
      <c r="A1073" s="1" t="s">
        <v>1861</v>
      </c>
      <c r="B1073" s="2">
        <v>45696</v>
      </c>
      <c r="C1073" s="1" t="s">
        <v>1764</v>
      </c>
      <c r="D1073" s="1" t="s">
        <v>1765</v>
      </c>
      <c r="E1073" s="1" t="s">
        <v>37</v>
      </c>
      <c r="F1073" s="1" t="s">
        <v>25</v>
      </c>
      <c r="G1073" s="1" t="s">
        <v>44</v>
      </c>
      <c r="H1073" s="1" t="s">
        <v>70</v>
      </c>
      <c r="I1073">
        <v>8</v>
      </c>
      <c r="J1073">
        <v>74828.740000000005</v>
      </c>
      <c r="K1073">
        <v>0.05</v>
      </c>
      <c r="L1073">
        <v>11188.2</v>
      </c>
      <c r="M1073" s="1" t="s">
        <v>28</v>
      </c>
    </row>
    <row r="1074" spans="1:13" x14ac:dyDescent="0.3">
      <c r="A1074" s="1" t="s">
        <v>1862</v>
      </c>
      <c r="B1074" s="2">
        <v>45855</v>
      </c>
      <c r="C1074" s="1" t="s">
        <v>178</v>
      </c>
      <c r="D1074" s="1" t="s">
        <v>179</v>
      </c>
      <c r="E1074" s="1" t="s">
        <v>74</v>
      </c>
      <c r="F1074" s="1" t="s">
        <v>25</v>
      </c>
      <c r="G1074" s="1" t="s">
        <v>44</v>
      </c>
      <c r="H1074" s="1" t="s">
        <v>155</v>
      </c>
      <c r="I1074">
        <v>8</v>
      </c>
      <c r="J1074">
        <v>68680.34</v>
      </c>
      <c r="K1074">
        <v>0.2</v>
      </c>
      <c r="L1074">
        <v>14888.16</v>
      </c>
      <c r="M1074" s="1" t="s">
        <v>55</v>
      </c>
    </row>
    <row r="1075" spans="1:13" x14ac:dyDescent="0.3">
      <c r="A1075" s="1" t="s">
        <v>1863</v>
      </c>
      <c r="B1075" s="2">
        <v>45791</v>
      </c>
      <c r="C1075" s="1" t="s">
        <v>601</v>
      </c>
      <c r="D1075" s="1" t="s">
        <v>602</v>
      </c>
      <c r="E1075" s="1" t="s">
        <v>74</v>
      </c>
      <c r="F1075" s="1" t="s">
        <v>69</v>
      </c>
      <c r="G1075" s="1" t="s">
        <v>32</v>
      </c>
      <c r="H1075" s="1" t="s">
        <v>79</v>
      </c>
      <c r="I1075">
        <v>1</v>
      </c>
      <c r="J1075">
        <v>18234.62</v>
      </c>
      <c r="K1075">
        <v>0</v>
      </c>
      <c r="L1075">
        <v>3616.49</v>
      </c>
      <c r="M1075" s="1" t="s">
        <v>55</v>
      </c>
    </row>
    <row r="1076" spans="1:13" x14ac:dyDescent="0.3">
      <c r="A1076" s="1" t="s">
        <v>1864</v>
      </c>
      <c r="B1076" s="2">
        <v>45724</v>
      </c>
      <c r="C1076" s="1" t="s">
        <v>558</v>
      </c>
      <c r="D1076" s="1" t="s">
        <v>559</v>
      </c>
      <c r="E1076" s="1" t="s">
        <v>74</v>
      </c>
      <c r="F1076" s="1" t="s">
        <v>69</v>
      </c>
      <c r="G1076" s="1" t="s">
        <v>32</v>
      </c>
      <c r="H1076" s="1" t="s">
        <v>59</v>
      </c>
      <c r="I1076">
        <v>1</v>
      </c>
      <c r="J1076">
        <v>16008.92</v>
      </c>
      <c r="K1076">
        <v>0.15</v>
      </c>
      <c r="L1076">
        <v>3662.14</v>
      </c>
      <c r="M1076" s="1" t="s">
        <v>55</v>
      </c>
    </row>
    <row r="1077" spans="1:13" x14ac:dyDescent="0.3">
      <c r="A1077" s="1" t="s">
        <v>1865</v>
      </c>
      <c r="B1077" s="2">
        <v>45836</v>
      </c>
      <c r="C1077" s="1" t="s">
        <v>64</v>
      </c>
      <c r="D1077" s="1" t="s">
        <v>65</v>
      </c>
      <c r="E1077" s="1" t="s">
        <v>74</v>
      </c>
      <c r="F1077" s="1" t="s">
        <v>25</v>
      </c>
      <c r="G1077" s="1" t="s">
        <v>18</v>
      </c>
      <c r="H1077" s="1" t="s">
        <v>19</v>
      </c>
      <c r="I1077">
        <v>5</v>
      </c>
      <c r="J1077">
        <v>3975.73</v>
      </c>
      <c r="K1077">
        <v>0.2</v>
      </c>
      <c r="L1077">
        <v>1021.76</v>
      </c>
      <c r="M1077" s="1" t="s">
        <v>50</v>
      </c>
    </row>
    <row r="1078" spans="1:13" x14ac:dyDescent="0.3">
      <c r="A1078" s="1" t="s">
        <v>1866</v>
      </c>
      <c r="B1078" s="2">
        <v>45699</v>
      </c>
      <c r="C1078" s="1" t="s">
        <v>564</v>
      </c>
      <c r="D1078" s="1" t="s">
        <v>565</v>
      </c>
      <c r="E1078" s="1" t="s">
        <v>43</v>
      </c>
      <c r="F1078" s="1" t="s">
        <v>25</v>
      </c>
      <c r="G1078" s="1" t="s">
        <v>26</v>
      </c>
      <c r="H1078" s="1" t="s">
        <v>86</v>
      </c>
      <c r="I1078">
        <v>3</v>
      </c>
      <c r="J1078">
        <v>7495.59</v>
      </c>
      <c r="K1078">
        <v>0.1</v>
      </c>
      <c r="L1078">
        <v>2000.82</v>
      </c>
      <c r="M1078" s="1" t="s">
        <v>50</v>
      </c>
    </row>
    <row r="1079" spans="1:13" x14ac:dyDescent="0.3">
      <c r="A1079" s="1" t="s">
        <v>1867</v>
      </c>
      <c r="B1079" s="2">
        <v>45672</v>
      </c>
      <c r="C1079" s="1" t="s">
        <v>288</v>
      </c>
      <c r="D1079" s="1" t="s">
        <v>289</v>
      </c>
      <c r="E1079" s="1" t="s">
        <v>74</v>
      </c>
      <c r="F1079" s="1" t="s">
        <v>17</v>
      </c>
      <c r="G1079" s="1" t="s">
        <v>32</v>
      </c>
      <c r="H1079" s="1" t="s">
        <v>54</v>
      </c>
      <c r="I1079">
        <v>9</v>
      </c>
      <c r="J1079">
        <v>89604.77</v>
      </c>
      <c r="K1079">
        <v>0.2</v>
      </c>
      <c r="L1079">
        <v>16403.93</v>
      </c>
      <c r="M1079" s="1" t="s">
        <v>28</v>
      </c>
    </row>
    <row r="1080" spans="1:13" x14ac:dyDescent="0.3">
      <c r="A1080" s="1" t="s">
        <v>1868</v>
      </c>
      <c r="B1080" s="2">
        <v>45768</v>
      </c>
      <c r="C1080" s="1" t="s">
        <v>226</v>
      </c>
      <c r="D1080" s="1" t="s">
        <v>227</v>
      </c>
      <c r="E1080" s="1" t="s">
        <v>43</v>
      </c>
      <c r="F1080" s="1" t="s">
        <v>69</v>
      </c>
      <c r="G1080" s="1" t="s">
        <v>18</v>
      </c>
      <c r="H1080" s="1" t="s">
        <v>122</v>
      </c>
      <c r="I1080">
        <v>5</v>
      </c>
      <c r="J1080">
        <v>12485.16</v>
      </c>
      <c r="K1080">
        <v>0</v>
      </c>
      <c r="L1080">
        <v>4048.12</v>
      </c>
      <c r="M1080" s="1" t="s">
        <v>39</v>
      </c>
    </row>
    <row r="1081" spans="1:13" x14ac:dyDescent="0.3">
      <c r="A1081" s="1" t="s">
        <v>1869</v>
      </c>
      <c r="B1081" s="2">
        <v>45814</v>
      </c>
      <c r="C1081" s="1" t="s">
        <v>41</v>
      </c>
      <c r="D1081" s="1" t="s">
        <v>42</v>
      </c>
      <c r="E1081" s="1" t="s">
        <v>37</v>
      </c>
      <c r="F1081" s="1" t="s">
        <v>25</v>
      </c>
      <c r="G1081" s="1" t="s">
        <v>32</v>
      </c>
      <c r="H1081" s="1" t="s">
        <v>38</v>
      </c>
      <c r="I1081">
        <v>2</v>
      </c>
      <c r="J1081">
        <v>33430.089999999997</v>
      </c>
      <c r="K1081">
        <v>0.1</v>
      </c>
      <c r="L1081">
        <v>6874.51</v>
      </c>
      <c r="M1081" s="1" t="s">
        <v>28</v>
      </c>
    </row>
    <row r="1082" spans="1:13" x14ac:dyDescent="0.3">
      <c r="A1082" s="1" t="s">
        <v>1870</v>
      </c>
      <c r="B1082" s="2">
        <v>45946</v>
      </c>
      <c r="C1082" s="1" t="s">
        <v>707</v>
      </c>
      <c r="D1082" s="1" t="s">
        <v>708</v>
      </c>
      <c r="E1082" s="1" t="s">
        <v>74</v>
      </c>
      <c r="F1082" s="1" t="s">
        <v>17</v>
      </c>
      <c r="G1082" s="1" t="s">
        <v>32</v>
      </c>
      <c r="H1082" s="1" t="s">
        <v>54</v>
      </c>
      <c r="I1082">
        <v>5</v>
      </c>
      <c r="J1082">
        <v>47357.1</v>
      </c>
      <c r="K1082">
        <v>0.1</v>
      </c>
      <c r="L1082">
        <v>10390.35</v>
      </c>
      <c r="M1082" s="1" t="s">
        <v>28</v>
      </c>
    </row>
    <row r="1083" spans="1:13" x14ac:dyDescent="0.3">
      <c r="A1083" s="1" t="s">
        <v>1871</v>
      </c>
      <c r="B1083" s="2">
        <v>45888</v>
      </c>
      <c r="C1083" s="1" t="s">
        <v>57</v>
      </c>
      <c r="D1083" s="1" t="s">
        <v>58</v>
      </c>
      <c r="E1083" s="1" t="s">
        <v>24</v>
      </c>
      <c r="F1083" s="1" t="s">
        <v>69</v>
      </c>
      <c r="G1083" s="1" t="s">
        <v>26</v>
      </c>
      <c r="H1083" s="1" t="s">
        <v>27</v>
      </c>
      <c r="I1083">
        <v>4</v>
      </c>
      <c r="J1083">
        <v>10859.07</v>
      </c>
      <c r="K1083">
        <v>0.05</v>
      </c>
      <c r="L1083">
        <v>2287.41</v>
      </c>
      <c r="M1083" s="1" t="s">
        <v>39</v>
      </c>
    </row>
    <row r="1084" spans="1:13" x14ac:dyDescent="0.3">
      <c r="A1084" s="1" t="s">
        <v>1872</v>
      </c>
      <c r="B1084" s="2">
        <v>45814</v>
      </c>
      <c r="C1084" s="1" t="s">
        <v>169</v>
      </c>
      <c r="D1084" s="1" t="s">
        <v>170</v>
      </c>
      <c r="E1084" s="1" t="s">
        <v>24</v>
      </c>
      <c r="F1084" s="1" t="s">
        <v>25</v>
      </c>
      <c r="G1084" s="1" t="s">
        <v>32</v>
      </c>
      <c r="H1084" s="1" t="s">
        <v>54</v>
      </c>
      <c r="I1084">
        <v>7</v>
      </c>
      <c r="J1084">
        <v>119946.26</v>
      </c>
      <c r="K1084">
        <v>0.15</v>
      </c>
      <c r="L1084">
        <v>26091.27</v>
      </c>
      <c r="M1084" s="1" t="s">
        <v>20</v>
      </c>
    </row>
    <row r="1085" spans="1:13" x14ac:dyDescent="0.3">
      <c r="A1085" s="1" t="s">
        <v>1873</v>
      </c>
      <c r="B1085" s="2">
        <v>45695</v>
      </c>
      <c r="C1085" s="1" t="s">
        <v>1186</v>
      </c>
      <c r="D1085" s="1" t="s">
        <v>1187</v>
      </c>
      <c r="E1085" s="1" t="s">
        <v>16</v>
      </c>
      <c r="F1085" s="1" t="s">
        <v>25</v>
      </c>
      <c r="G1085" s="1" t="s">
        <v>18</v>
      </c>
      <c r="H1085" s="1" t="s">
        <v>97</v>
      </c>
      <c r="I1085">
        <v>7</v>
      </c>
      <c r="J1085">
        <v>13141.17</v>
      </c>
      <c r="K1085">
        <v>0.15</v>
      </c>
      <c r="L1085">
        <v>4309.12</v>
      </c>
      <c r="M1085" s="1" t="s">
        <v>50</v>
      </c>
    </row>
    <row r="1086" spans="1:13" x14ac:dyDescent="0.3">
      <c r="A1086" s="1" t="s">
        <v>1874</v>
      </c>
      <c r="B1086" s="2">
        <v>45754</v>
      </c>
      <c r="C1086" s="1" t="s">
        <v>1110</v>
      </c>
      <c r="D1086" s="1" t="s">
        <v>1111</v>
      </c>
      <c r="E1086" s="1" t="s">
        <v>74</v>
      </c>
      <c r="F1086" s="1" t="s">
        <v>25</v>
      </c>
      <c r="G1086" s="1" t="s">
        <v>18</v>
      </c>
      <c r="H1086" s="1" t="s">
        <v>145</v>
      </c>
      <c r="I1086">
        <v>5</v>
      </c>
      <c r="J1086">
        <v>10762.13</v>
      </c>
      <c r="K1086">
        <v>0.05</v>
      </c>
      <c r="L1086">
        <v>3351.4</v>
      </c>
      <c r="M1086" s="1" t="s">
        <v>50</v>
      </c>
    </row>
    <row r="1087" spans="1:13" x14ac:dyDescent="0.3">
      <c r="A1087" s="1" t="s">
        <v>1875</v>
      </c>
      <c r="B1087" s="2">
        <v>45946</v>
      </c>
      <c r="C1087" s="1" t="s">
        <v>1099</v>
      </c>
      <c r="D1087" s="1" t="s">
        <v>1100</v>
      </c>
      <c r="E1087" s="1" t="s">
        <v>24</v>
      </c>
      <c r="F1087" s="1" t="s">
        <v>25</v>
      </c>
      <c r="G1087" s="1" t="s">
        <v>26</v>
      </c>
      <c r="H1087" s="1" t="s">
        <v>49</v>
      </c>
      <c r="I1087">
        <v>10</v>
      </c>
      <c r="J1087">
        <v>15259.46</v>
      </c>
      <c r="K1087">
        <v>0.25</v>
      </c>
      <c r="L1087">
        <v>3110.92</v>
      </c>
      <c r="M1087" s="1" t="s">
        <v>20</v>
      </c>
    </row>
    <row r="1088" spans="1:13" x14ac:dyDescent="0.3">
      <c r="A1088" s="1" t="s">
        <v>1876</v>
      </c>
      <c r="B1088" s="2">
        <v>45911</v>
      </c>
      <c r="C1088" s="1" t="s">
        <v>801</v>
      </c>
      <c r="D1088" s="1" t="s">
        <v>802</v>
      </c>
      <c r="E1088" s="1" t="s">
        <v>24</v>
      </c>
      <c r="F1088" s="1" t="s">
        <v>69</v>
      </c>
      <c r="G1088" s="1" t="s">
        <v>18</v>
      </c>
      <c r="H1088" s="1" t="s">
        <v>97</v>
      </c>
      <c r="I1088">
        <v>7</v>
      </c>
      <c r="J1088">
        <v>8375.2999999999993</v>
      </c>
      <c r="K1088">
        <v>0.2</v>
      </c>
      <c r="L1088">
        <v>2181.02</v>
      </c>
      <c r="M1088" s="1" t="s">
        <v>55</v>
      </c>
    </row>
    <row r="1089" spans="1:13" x14ac:dyDescent="0.3">
      <c r="A1089" s="1" t="s">
        <v>1877</v>
      </c>
      <c r="B1089" s="2">
        <v>45853</v>
      </c>
      <c r="C1089" s="1" t="s">
        <v>890</v>
      </c>
      <c r="D1089" s="1" t="s">
        <v>891</v>
      </c>
      <c r="E1089" s="1" t="s">
        <v>16</v>
      </c>
      <c r="F1089" s="1" t="s">
        <v>25</v>
      </c>
      <c r="G1089" s="1" t="s">
        <v>18</v>
      </c>
      <c r="H1089" s="1" t="s">
        <v>122</v>
      </c>
      <c r="I1089">
        <v>6</v>
      </c>
      <c r="J1089">
        <v>11179.97</v>
      </c>
      <c r="K1089">
        <v>0.1</v>
      </c>
      <c r="L1089">
        <v>3347.89</v>
      </c>
      <c r="M1089" s="1" t="s">
        <v>28</v>
      </c>
    </row>
    <row r="1090" spans="1:13" x14ac:dyDescent="0.3">
      <c r="A1090" s="1" t="s">
        <v>1878</v>
      </c>
      <c r="B1090" s="2">
        <v>45743</v>
      </c>
      <c r="C1090" s="1" t="s">
        <v>808</v>
      </c>
      <c r="D1090" s="1" t="s">
        <v>809</v>
      </c>
      <c r="E1090" s="1" t="s">
        <v>74</v>
      </c>
      <c r="F1090" s="1" t="s">
        <v>25</v>
      </c>
      <c r="G1090" s="1" t="s">
        <v>32</v>
      </c>
      <c r="H1090" s="1" t="s">
        <v>79</v>
      </c>
      <c r="I1090">
        <v>2</v>
      </c>
      <c r="J1090">
        <v>34888.25</v>
      </c>
      <c r="K1090">
        <v>0.1</v>
      </c>
      <c r="L1090">
        <v>8066.89</v>
      </c>
      <c r="M1090" s="1" t="s">
        <v>28</v>
      </c>
    </row>
    <row r="1091" spans="1:13" x14ac:dyDescent="0.3">
      <c r="A1091" s="1" t="s">
        <v>1879</v>
      </c>
      <c r="B1091" s="2">
        <v>45979</v>
      </c>
      <c r="C1091" s="1" t="s">
        <v>863</v>
      </c>
      <c r="D1091" s="1" t="s">
        <v>864</v>
      </c>
      <c r="E1091" s="1" t="s">
        <v>37</v>
      </c>
      <c r="F1091" s="1" t="s">
        <v>17</v>
      </c>
      <c r="G1091" s="1" t="s">
        <v>32</v>
      </c>
      <c r="H1091" s="1" t="s">
        <v>79</v>
      </c>
      <c r="I1091">
        <v>8</v>
      </c>
      <c r="J1091">
        <v>122771.68</v>
      </c>
      <c r="K1091">
        <v>0.1</v>
      </c>
      <c r="L1091">
        <v>30596.78</v>
      </c>
      <c r="M1091" s="1" t="s">
        <v>55</v>
      </c>
    </row>
    <row r="1092" spans="1:13" x14ac:dyDescent="0.3">
      <c r="A1092" s="1" t="s">
        <v>1880</v>
      </c>
      <c r="B1092" s="2">
        <v>45667</v>
      </c>
      <c r="C1092" s="1" t="s">
        <v>1011</v>
      </c>
      <c r="D1092" s="1" t="s">
        <v>1012</v>
      </c>
      <c r="E1092" s="1" t="s">
        <v>74</v>
      </c>
      <c r="F1092" s="1" t="s">
        <v>69</v>
      </c>
      <c r="G1092" s="1" t="s">
        <v>32</v>
      </c>
      <c r="H1092" s="1" t="s">
        <v>33</v>
      </c>
      <c r="I1092">
        <v>5</v>
      </c>
      <c r="J1092">
        <v>46790.63</v>
      </c>
      <c r="K1092">
        <v>0.05</v>
      </c>
      <c r="L1092">
        <v>9983.2800000000007</v>
      </c>
      <c r="M1092" s="1" t="s">
        <v>20</v>
      </c>
    </row>
    <row r="1093" spans="1:13" x14ac:dyDescent="0.3">
      <c r="A1093" s="1" t="s">
        <v>1881</v>
      </c>
      <c r="B1093" s="2">
        <v>45662</v>
      </c>
      <c r="C1093" s="1" t="s">
        <v>1793</v>
      </c>
      <c r="D1093" s="1" t="s">
        <v>1794</v>
      </c>
      <c r="E1093" s="1" t="s">
        <v>43</v>
      </c>
      <c r="F1093" s="1" t="s">
        <v>25</v>
      </c>
      <c r="G1093" s="1" t="s">
        <v>32</v>
      </c>
      <c r="H1093" s="1" t="s">
        <v>79</v>
      </c>
      <c r="I1093">
        <v>10</v>
      </c>
      <c r="J1093">
        <v>124375.42</v>
      </c>
      <c r="K1093">
        <v>0.15</v>
      </c>
      <c r="L1093">
        <v>24563.01</v>
      </c>
      <c r="M1093" s="1" t="s">
        <v>50</v>
      </c>
    </row>
    <row r="1094" spans="1:13" x14ac:dyDescent="0.3">
      <c r="A1094" s="1" t="s">
        <v>1882</v>
      </c>
      <c r="B1094" s="2">
        <v>45780</v>
      </c>
      <c r="C1094" s="1" t="s">
        <v>1883</v>
      </c>
      <c r="D1094" s="1" t="s">
        <v>1884</v>
      </c>
      <c r="E1094" s="1" t="s">
        <v>74</v>
      </c>
      <c r="F1094" s="1" t="s">
        <v>25</v>
      </c>
      <c r="G1094" s="1" t="s">
        <v>44</v>
      </c>
      <c r="H1094" s="1" t="s">
        <v>155</v>
      </c>
      <c r="I1094">
        <v>4</v>
      </c>
      <c r="J1094">
        <v>23248.51</v>
      </c>
      <c r="K1094">
        <v>0.2</v>
      </c>
      <c r="L1094">
        <v>3999.42</v>
      </c>
      <c r="M1094" s="1" t="s">
        <v>50</v>
      </c>
    </row>
    <row r="1095" spans="1:13" x14ac:dyDescent="0.3">
      <c r="A1095" s="1" t="s">
        <v>1885</v>
      </c>
      <c r="B1095" s="2">
        <v>45987</v>
      </c>
      <c r="C1095" s="1" t="s">
        <v>1357</v>
      </c>
      <c r="D1095" s="1" t="s">
        <v>1358</v>
      </c>
      <c r="E1095" s="1" t="s">
        <v>37</v>
      </c>
      <c r="F1095" s="1" t="s">
        <v>25</v>
      </c>
      <c r="G1095" s="1" t="s">
        <v>26</v>
      </c>
      <c r="H1095" s="1" t="s">
        <v>244</v>
      </c>
      <c r="I1095">
        <v>7</v>
      </c>
      <c r="J1095">
        <v>11539.77</v>
      </c>
      <c r="K1095">
        <v>0.15</v>
      </c>
      <c r="L1095">
        <v>3298.42</v>
      </c>
      <c r="M1095" s="1" t="s">
        <v>55</v>
      </c>
    </row>
    <row r="1096" spans="1:13" x14ac:dyDescent="0.3">
      <c r="A1096" s="1" t="s">
        <v>1886</v>
      </c>
      <c r="B1096" s="2">
        <v>46010</v>
      </c>
      <c r="C1096" s="1" t="s">
        <v>1301</v>
      </c>
      <c r="D1096" s="1" t="s">
        <v>1302</v>
      </c>
      <c r="E1096" s="1" t="s">
        <v>43</v>
      </c>
      <c r="F1096" s="1" t="s">
        <v>25</v>
      </c>
      <c r="G1096" s="1" t="s">
        <v>32</v>
      </c>
      <c r="H1096" s="1" t="s">
        <v>59</v>
      </c>
      <c r="I1096">
        <v>1</v>
      </c>
      <c r="J1096">
        <v>16790.71</v>
      </c>
      <c r="K1096">
        <v>0.2</v>
      </c>
      <c r="L1096">
        <v>3444.86</v>
      </c>
      <c r="M1096" s="1" t="s">
        <v>39</v>
      </c>
    </row>
    <row r="1097" spans="1:13" x14ac:dyDescent="0.3">
      <c r="A1097" s="1" t="s">
        <v>1887</v>
      </c>
      <c r="B1097" s="2">
        <v>45775</v>
      </c>
      <c r="C1097" s="1" t="s">
        <v>64</v>
      </c>
      <c r="D1097" s="1" t="s">
        <v>65</v>
      </c>
      <c r="E1097" s="1" t="s">
        <v>16</v>
      </c>
      <c r="F1097" s="1" t="s">
        <v>25</v>
      </c>
      <c r="G1097" s="1" t="s">
        <v>26</v>
      </c>
      <c r="H1097" s="1" t="s">
        <v>86</v>
      </c>
      <c r="I1097">
        <v>9</v>
      </c>
      <c r="J1097">
        <v>32830.46</v>
      </c>
      <c r="K1097">
        <v>0.2</v>
      </c>
      <c r="L1097">
        <v>7891.03</v>
      </c>
      <c r="M1097" s="1" t="s">
        <v>50</v>
      </c>
    </row>
    <row r="1098" spans="1:13" x14ac:dyDescent="0.3">
      <c r="A1098" s="1" t="s">
        <v>1888</v>
      </c>
      <c r="B1098" s="2">
        <v>45951</v>
      </c>
      <c r="C1098" s="1" t="s">
        <v>427</v>
      </c>
      <c r="D1098" s="1" t="s">
        <v>428</v>
      </c>
      <c r="E1098" s="1" t="s">
        <v>37</v>
      </c>
      <c r="F1098" s="1" t="s">
        <v>25</v>
      </c>
      <c r="G1098" s="1" t="s">
        <v>18</v>
      </c>
      <c r="H1098" s="1" t="s">
        <v>122</v>
      </c>
      <c r="I1098">
        <v>5</v>
      </c>
      <c r="J1098">
        <v>8386.52</v>
      </c>
      <c r="K1098">
        <v>0.1</v>
      </c>
      <c r="L1098">
        <v>2676.52</v>
      </c>
      <c r="M1098" s="1" t="s">
        <v>28</v>
      </c>
    </row>
    <row r="1099" spans="1:13" x14ac:dyDescent="0.3">
      <c r="A1099" s="1" t="s">
        <v>1889</v>
      </c>
      <c r="B1099" s="2">
        <v>45816</v>
      </c>
      <c r="C1099" s="1" t="s">
        <v>637</v>
      </c>
      <c r="D1099" s="1" t="s">
        <v>638</v>
      </c>
      <c r="E1099" s="1" t="s">
        <v>24</v>
      </c>
      <c r="F1099" s="1" t="s">
        <v>25</v>
      </c>
      <c r="G1099" s="1" t="s">
        <v>32</v>
      </c>
      <c r="H1099" s="1" t="s">
        <v>38</v>
      </c>
      <c r="I1099">
        <v>6</v>
      </c>
      <c r="J1099">
        <v>76732.149999999994</v>
      </c>
      <c r="K1099">
        <v>0.05</v>
      </c>
      <c r="L1099">
        <v>20124.400000000001</v>
      </c>
      <c r="M1099" s="1" t="s">
        <v>28</v>
      </c>
    </row>
    <row r="1100" spans="1:13" x14ac:dyDescent="0.3">
      <c r="A1100" s="1" t="s">
        <v>1890</v>
      </c>
      <c r="B1100" s="2">
        <v>45960</v>
      </c>
      <c r="C1100" s="1" t="s">
        <v>485</v>
      </c>
      <c r="D1100" s="1" t="s">
        <v>486</v>
      </c>
      <c r="E1100" s="1" t="s">
        <v>43</v>
      </c>
      <c r="F1100" s="1" t="s">
        <v>25</v>
      </c>
      <c r="G1100" s="1" t="s">
        <v>26</v>
      </c>
      <c r="H1100" s="1" t="s">
        <v>231</v>
      </c>
      <c r="I1100">
        <v>4</v>
      </c>
      <c r="J1100">
        <v>13519.63</v>
      </c>
      <c r="K1100">
        <v>0.15</v>
      </c>
      <c r="L1100">
        <v>3891.89</v>
      </c>
      <c r="M1100" s="1" t="s">
        <v>55</v>
      </c>
    </row>
    <row r="1101" spans="1:13" x14ac:dyDescent="0.3">
      <c r="A1101" s="1" t="s">
        <v>1891</v>
      </c>
      <c r="B1101" s="2">
        <v>45885</v>
      </c>
      <c r="C1101" s="1" t="s">
        <v>783</v>
      </c>
      <c r="D1101" s="1" t="s">
        <v>784</v>
      </c>
      <c r="E1101" s="1" t="s">
        <v>24</v>
      </c>
      <c r="F1101" s="1" t="s">
        <v>25</v>
      </c>
      <c r="G1101" s="1" t="s">
        <v>32</v>
      </c>
      <c r="H1101" s="1" t="s">
        <v>38</v>
      </c>
      <c r="I1101">
        <v>9</v>
      </c>
      <c r="J1101">
        <v>131560.91</v>
      </c>
      <c r="K1101">
        <v>0.15</v>
      </c>
      <c r="L1101">
        <v>30451.65</v>
      </c>
      <c r="M1101" s="1" t="s">
        <v>20</v>
      </c>
    </row>
    <row r="1102" spans="1:13" x14ac:dyDescent="0.3">
      <c r="A1102" s="1" t="s">
        <v>1892</v>
      </c>
      <c r="B1102" s="2">
        <v>46022</v>
      </c>
      <c r="C1102" s="1" t="s">
        <v>1501</v>
      </c>
      <c r="D1102" s="1" t="s">
        <v>1502</v>
      </c>
      <c r="E1102" s="1" t="s">
        <v>37</v>
      </c>
      <c r="F1102" s="1" t="s">
        <v>25</v>
      </c>
      <c r="G1102" s="1" t="s">
        <v>18</v>
      </c>
      <c r="H1102" s="1" t="s">
        <v>141</v>
      </c>
      <c r="I1102">
        <v>5</v>
      </c>
      <c r="J1102">
        <v>6174.91</v>
      </c>
      <c r="K1102">
        <v>0.15</v>
      </c>
      <c r="L1102">
        <v>1749.37</v>
      </c>
      <c r="M1102" s="1" t="s">
        <v>28</v>
      </c>
    </row>
    <row r="1103" spans="1:13" x14ac:dyDescent="0.3">
      <c r="A1103" s="1" t="s">
        <v>1893</v>
      </c>
      <c r="B1103" s="2">
        <v>45873</v>
      </c>
      <c r="C1103" s="1" t="s">
        <v>685</v>
      </c>
      <c r="D1103" s="1" t="s">
        <v>686</v>
      </c>
      <c r="E1103" s="1" t="s">
        <v>37</v>
      </c>
      <c r="F1103" s="1" t="s">
        <v>25</v>
      </c>
      <c r="G1103" s="1" t="s">
        <v>44</v>
      </c>
      <c r="H1103" s="1" t="s">
        <v>70</v>
      </c>
      <c r="I1103">
        <v>3</v>
      </c>
      <c r="J1103">
        <v>43993.61</v>
      </c>
      <c r="K1103">
        <v>0</v>
      </c>
      <c r="L1103">
        <v>6777.98</v>
      </c>
      <c r="M1103" s="1" t="s">
        <v>20</v>
      </c>
    </row>
    <row r="1104" spans="1:13" x14ac:dyDescent="0.3">
      <c r="A1104" s="1" t="s">
        <v>1894</v>
      </c>
      <c r="B1104" s="2">
        <v>45841</v>
      </c>
      <c r="C1104" s="1" t="s">
        <v>1710</v>
      </c>
      <c r="D1104" s="1" t="s">
        <v>1711</v>
      </c>
      <c r="E1104" s="1" t="s">
        <v>16</v>
      </c>
      <c r="F1104" s="1" t="s">
        <v>17</v>
      </c>
      <c r="G1104" s="1" t="s">
        <v>18</v>
      </c>
      <c r="H1104" s="1" t="s">
        <v>97</v>
      </c>
      <c r="I1104">
        <v>10</v>
      </c>
      <c r="J1104">
        <v>8367.2900000000009</v>
      </c>
      <c r="K1104">
        <v>0.2</v>
      </c>
      <c r="L1104">
        <v>1966.75</v>
      </c>
      <c r="M1104" s="1" t="s">
        <v>50</v>
      </c>
    </row>
    <row r="1105" spans="1:13" x14ac:dyDescent="0.3">
      <c r="A1105" s="1" t="s">
        <v>1895</v>
      </c>
      <c r="B1105" s="2">
        <v>45672</v>
      </c>
      <c r="C1105" s="1" t="s">
        <v>249</v>
      </c>
      <c r="D1105" s="1" t="s">
        <v>250</v>
      </c>
      <c r="E1105" s="1" t="s">
        <v>16</v>
      </c>
      <c r="F1105" s="1" t="s">
        <v>25</v>
      </c>
      <c r="G1105" s="1" t="s">
        <v>32</v>
      </c>
      <c r="H1105" s="1" t="s">
        <v>54</v>
      </c>
      <c r="I1105">
        <v>1</v>
      </c>
      <c r="J1105">
        <v>14223.22</v>
      </c>
      <c r="K1105">
        <v>0</v>
      </c>
      <c r="L1105">
        <v>3423.27</v>
      </c>
      <c r="M1105" s="1" t="s">
        <v>55</v>
      </c>
    </row>
    <row r="1106" spans="1:13" x14ac:dyDescent="0.3">
      <c r="A1106" s="1" t="s">
        <v>1896</v>
      </c>
      <c r="B1106" s="2">
        <v>45814</v>
      </c>
      <c r="C1106" s="1" t="s">
        <v>761</v>
      </c>
      <c r="D1106" s="1" t="s">
        <v>762</v>
      </c>
      <c r="E1106" s="1" t="s">
        <v>16</v>
      </c>
      <c r="F1106" s="1" t="s">
        <v>25</v>
      </c>
      <c r="G1106" s="1" t="s">
        <v>32</v>
      </c>
      <c r="H1106" s="1" t="s">
        <v>54</v>
      </c>
      <c r="I1106">
        <v>6</v>
      </c>
      <c r="J1106">
        <v>51404.74</v>
      </c>
      <c r="K1106">
        <v>0.05</v>
      </c>
      <c r="L1106">
        <v>11979.66</v>
      </c>
      <c r="M1106" s="1" t="s">
        <v>55</v>
      </c>
    </row>
    <row r="1107" spans="1:13" x14ac:dyDescent="0.3">
      <c r="A1107" s="1" t="s">
        <v>1897</v>
      </c>
      <c r="B1107" s="2">
        <v>45793</v>
      </c>
      <c r="C1107" s="1" t="s">
        <v>1462</v>
      </c>
      <c r="D1107" s="1" t="s">
        <v>1463</v>
      </c>
      <c r="E1107" s="1" t="s">
        <v>74</v>
      </c>
      <c r="F1107" s="1" t="s">
        <v>69</v>
      </c>
      <c r="G1107" s="1" t="s">
        <v>32</v>
      </c>
      <c r="H1107" s="1" t="s">
        <v>54</v>
      </c>
      <c r="I1107">
        <v>8</v>
      </c>
      <c r="J1107">
        <v>150434.21</v>
      </c>
      <c r="K1107">
        <v>0.1</v>
      </c>
      <c r="L1107">
        <v>30254.83</v>
      </c>
      <c r="M1107" s="1" t="s">
        <v>55</v>
      </c>
    </row>
    <row r="1108" spans="1:13" x14ac:dyDescent="0.3">
      <c r="A1108" s="1" t="s">
        <v>1898</v>
      </c>
      <c r="B1108" s="2">
        <v>45918</v>
      </c>
      <c r="C1108" s="1" t="s">
        <v>890</v>
      </c>
      <c r="D1108" s="1" t="s">
        <v>891</v>
      </c>
      <c r="E1108" s="1" t="s">
        <v>24</v>
      </c>
      <c r="F1108" s="1" t="s">
        <v>69</v>
      </c>
      <c r="G1108" s="1" t="s">
        <v>44</v>
      </c>
      <c r="H1108" s="1" t="s">
        <v>90</v>
      </c>
      <c r="I1108">
        <v>5</v>
      </c>
      <c r="J1108">
        <v>48175.29</v>
      </c>
      <c r="K1108">
        <v>0.25</v>
      </c>
      <c r="L1108">
        <v>7931.4</v>
      </c>
      <c r="M1108" s="1" t="s">
        <v>50</v>
      </c>
    </row>
    <row r="1109" spans="1:13" x14ac:dyDescent="0.3">
      <c r="A1109" s="1" t="s">
        <v>1899</v>
      </c>
      <c r="B1109" s="2">
        <v>45814</v>
      </c>
      <c r="C1109" s="1" t="s">
        <v>1077</v>
      </c>
      <c r="D1109" s="1" t="s">
        <v>1078</v>
      </c>
      <c r="E1109" s="1" t="s">
        <v>24</v>
      </c>
      <c r="F1109" s="1" t="s">
        <v>69</v>
      </c>
      <c r="G1109" s="1" t="s">
        <v>26</v>
      </c>
      <c r="H1109" s="1" t="s">
        <v>244</v>
      </c>
      <c r="I1109">
        <v>6</v>
      </c>
      <c r="J1109">
        <v>24396.82</v>
      </c>
      <c r="K1109">
        <v>0</v>
      </c>
      <c r="L1109">
        <v>6468.07</v>
      </c>
      <c r="M1109" s="1" t="s">
        <v>28</v>
      </c>
    </row>
    <row r="1110" spans="1:13" x14ac:dyDescent="0.3">
      <c r="A1110" s="1" t="s">
        <v>1900</v>
      </c>
      <c r="B1110" s="2">
        <v>45704</v>
      </c>
      <c r="C1110" s="1" t="s">
        <v>406</v>
      </c>
      <c r="D1110" s="1" t="s">
        <v>407</v>
      </c>
      <c r="E1110" s="1" t="s">
        <v>74</v>
      </c>
      <c r="F1110" s="1" t="s">
        <v>69</v>
      </c>
      <c r="G1110" s="1" t="s">
        <v>32</v>
      </c>
      <c r="H1110" s="1" t="s">
        <v>79</v>
      </c>
      <c r="I1110">
        <v>4</v>
      </c>
      <c r="J1110">
        <v>63671.74</v>
      </c>
      <c r="K1110">
        <v>0.25</v>
      </c>
      <c r="L1110">
        <v>13649.41</v>
      </c>
      <c r="M1110" s="1" t="s">
        <v>20</v>
      </c>
    </row>
    <row r="1111" spans="1:13" x14ac:dyDescent="0.3">
      <c r="A1111" s="1" t="s">
        <v>1901</v>
      </c>
      <c r="B1111" s="2">
        <v>45981</v>
      </c>
      <c r="C1111" s="1" t="s">
        <v>392</v>
      </c>
      <c r="D1111" s="1" t="s">
        <v>393</v>
      </c>
      <c r="E1111" s="1" t="s">
        <v>74</v>
      </c>
      <c r="F1111" s="1" t="s">
        <v>69</v>
      </c>
      <c r="G1111" s="1" t="s">
        <v>32</v>
      </c>
      <c r="H1111" s="1" t="s">
        <v>54</v>
      </c>
      <c r="I1111">
        <v>3</v>
      </c>
      <c r="J1111">
        <v>33246.69</v>
      </c>
      <c r="K1111">
        <v>0.1</v>
      </c>
      <c r="L1111">
        <v>7706.71</v>
      </c>
      <c r="M1111" s="1" t="s">
        <v>50</v>
      </c>
    </row>
    <row r="1112" spans="1:13" x14ac:dyDescent="0.3">
      <c r="A1112" s="1" t="s">
        <v>1902</v>
      </c>
      <c r="B1112" s="2">
        <v>45989</v>
      </c>
      <c r="C1112" s="1" t="s">
        <v>671</v>
      </c>
      <c r="D1112" s="1" t="s">
        <v>672</v>
      </c>
      <c r="E1112" s="1" t="s">
        <v>24</v>
      </c>
      <c r="F1112" s="1" t="s">
        <v>25</v>
      </c>
      <c r="G1112" s="1" t="s">
        <v>18</v>
      </c>
      <c r="H1112" s="1" t="s">
        <v>19</v>
      </c>
      <c r="I1112">
        <v>7</v>
      </c>
      <c r="J1112">
        <v>16941.36</v>
      </c>
      <c r="K1112">
        <v>0</v>
      </c>
      <c r="L1112">
        <v>4459.49</v>
      </c>
      <c r="M1112" s="1" t="s">
        <v>55</v>
      </c>
    </row>
    <row r="1113" spans="1:13" x14ac:dyDescent="0.3">
      <c r="A1113" s="1" t="s">
        <v>1903</v>
      </c>
      <c r="B1113" s="2">
        <v>45830</v>
      </c>
      <c r="C1113" s="1" t="s">
        <v>739</v>
      </c>
      <c r="D1113" s="1" t="s">
        <v>740</v>
      </c>
      <c r="E1113" s="1" t="s">
        <v>37</v>
      </c>
      <c r="F1113" s="1" t="s">
        <v>69</v>
      </c>
      <c r="G1113" s="1" t="s">
        <v>18</v>
      </c>
      <c r="H1113" s="1" t="s">
        <v>122</v>
      </c>
      <c r="I1113">
        <v>4</v>
      </c>
      <c r="J1113">
        <v>4737.87</v>
      </c>
      <c r="K1113">
        <v>0.2</v>
      </c>
      <c r="L1113">
        <v>1452.93</v>
      </c>
      <c r="M1113" s="1" t="s">
        <v>55</v>
      </c>
    </row>
    <row r="1114" spans="1:13" x14ac:dyDescent="0.3">
      <c r="A1114" s="1" t="s">
        <v>1904</v>
      </c>
      <c r="B1114" s="2">
        <v>45787</v>
      </c>
      <c r="C1114" s="1" t="s">
        <v>463</v>
      </c>
      <c r="D1114" s="1" t="s">
        <v>464</v>
      </c>
      <c r="E1114" s="1" t="s">
        <v>16</v>
      </c>
      <c r="F1114" s="1" t="s">
        <v>69</v>
      </c>
      <c r="G1114" s="1" t="s">
        <v>44</v>
      </c>
      <c r="H1114" s="1" t="s">
        <v>45</v>
      </c>
      <c r="I1114">
        <v>10</v>
      </c>
      <c r="J1114">
        <v>123783.79</v>
      </c>
      <c r="K1114">
        <v>0.1</v>
      </c>
      <c r="L1114">
        <v>21870.25</v>
      </c>
      <c r="M1114" s="1" t="s">
        <v>20</v>
      </c>
    </row>
    <row r="1115" spans="1:13" x14ac:dyDescent="0.3">
      <c r="A1115" s="1" t="s">
        <v>1905</v>
      </c>
      <c r="B1115" s="2">
        <v>45752</v>
      </c>
      <c r="C1115" s="1" t="s">
        <v>1906</v>
      </c>
      <c r="D1115" s="1" t="s">
        <v>1907</v>
      </c>
      <c r="E1115" s="1" t="s">
        <v>16</v>
      </c>
      <c r="F1115" s="1" t="s">
        <v>17</v>
      </c>
      <c r="G1115" s="1" t="s">
        <v>26</v>
      </c>
      <c r="H1115" s="1" t="s">
        <v>86</v>
      </c>
      <c r="I1115">
        <v>9</v>
      </c>
      <c r="J1115">
        <v>26409.15</v>
      </c>
      <c r="K1115">
        <v>0.15</v>
      </c>
      <c r="L1115">
        <v>6441.99</v>
      </c>
      <c r="M1115" s="1" t="s">
        <v>50</v>
      </c>
    </row>
    <row r="1116" spans="1:13" x14ac:dyDescent="0.3">
      <c r="A1116" s="1" t="s">
        <v>1908</v>
      </c>
      <c r="B1116" s="2">
        <v>45772</v>
      </c>
      <c r="C1116" s="1" t="s">
        <v>288</v>
      </c>
      <c r="D1116" s="1" t="s">
        <v>289</v>
      </c>
      <c r="E1116" s="1" t="s">
        <v>74</v>
      </c>
      <c r="F1116" s="1" t="s">
        <v>69</v>
      </c>
      <c r="G1116" s="1" t="s">
        <v>32</v>
      </c>
      <c r="H1116" s="1" t="s">
        <v>54</v>
      </c>
      <c r="I1116">
        <v>5</v>
      </c>
      <c r="J1116">
        <v>87288.74</v>
      </c>
      <c r="K1116">
        <v>0.1</v>
      </c>
      <c r="L1116">
        <v>18749.12</v>
      </c>
      <c r="M1116" s="1" t="s">
        <v>20</v>
      </c>
    </row>
    <row r="1117" spans="1:13" x14ac:dyDescent="0.3">
      <c r="A1117" s="1" t="s">
        <v>1909</v>
      </c>
      <c r="B1117" s="2">
        <v>45900</v>
      </c>
      <c r="C1117" s="1" t="s">
        <v>1509</v>
      </c>
      <c r="D1117" s="1" t="s">
        <v>1510</v>
      </c>
      <c r="E1117" s="1" t="s">
        <v>16</v>
      </c>
      <c r="F1117" s="1" t="s">
        <v>17</v>
      </c>
      <c r="G1117" s="1" t="s">
        <v>44</v>
      </c>
      <c r="H1117" s="1" t="s">
        <v>70</v>
      </c>
      <c r="I1117">
        <v>5</v>
      </c>
      <c r="J1117">
        <v>32677.34</v>
      </c>
      <c r="K1117">
        <v>0.2</v>
      </c>
      <c r="L1117">
        <v>6496.82</v>
      </c>
      <c r="M1117" s="1" t="s">
        <v>39</v>
      </c>
    </row>
    <row r="1118" spans="1:13" x14ac:dyDescent="0.3">
      <c r="A1118" s="1" t="s">
        <v>1910</v>
      </c>
      <c r="B1118" s="2">
        <v>45949</v>
      </c>
      <c r="C1118" s="1" t="s">
        <v>1757</v>
      </c>
      <c r="D1118" s="1" t="s">
        <v>1758</v>
      </c>
      <c r="E1118" s="1" t="s">
        <v>74</v>
      </c>
      <c r="F1118" s="1" t="s">
        <v>25</v>
      </c>
      <c r="G1118" s="1" t="s">
        <v>44</v>
      </c>
      <c r="H1118" s="1" t="s">
        <v>75</v>
      </c>
      <c r="I1118">
        <v>7</v>
      </c>
      <c r="J1118">
        <v>73062.490000000005</v>
      </c>
      <c r="K1118">
        <v>0.1</v>
      </c>
      <c r="L1118">
        <v>12031.64</v>
      </c>
      <c r="M1118" s="1" t="s">
        <v>20</v>
      </c>
    </row>
    <row r="1119" spans="1:13" x14ac:dyDescent="0.3">
      <c r="A1119" s="1" t="s">
        <v>1911</v>
      </c>
      <c r="B1119" s="2">
        <v>45939</v>
      </c>
      <c r="C1119" s="1" t="s">
        <v>939</v>
      </c>
      <c r="D1119" s="1" t="s">
        <v>940</v>
      </c>
      <c r="E1119" s="1" t="s">
        <v>16</v>
      </c>
      <c r="F1119" s="1" t="s">
        <v>69</v>
      </c>
      <c r="G1119" s="1" t="s">
        <v>26</v>
      </c>
      <c r="H1119" s="1" t="s">
        <v>244</v>
      </c>
      <c r="I1119">
        <v>2</v>
      </c>
      <c r="J1119">
        <v>4295.3999999999996</v>
      </c>
      <c r="K1119">
        <v>0.15</v>
      </c>
      <c r="L1119">
        <v>935.75</v>
      </c>
      <c r="M1119" s="1" t="s">
        <v>20</v>
      </c>
    </row>
    <row r="1120" spans="1:13" x14ac:dyDescent="0.3">
      <c r="A1120" s="1" t="s">
        <v>1912</v>
      </c>
      <c r="B1120" s="2">
        <v>45956</v>
      </c>
      <c r="C1120" s="1" t="s">
        <v>501</v>
      </c>
      <c r="D1120" s="1" t="s">
        <v>502</v>
      </c>
      <c r="E1120" s="1" t="s">
        <v>16</v>
      </c>
      <c r="F1120" s="1" t="s">
        <v>25</v>
      </c>
      <c r="G1120" s="1" t="s">
        <v>32</v>
      </c>
      <c r="H1120" s="1" t="s">
        <v>38</v>
      </c>
      <c r="I1120">
        <v>3</v>
      </c>
      <c r="J1120">
        <v>49586.239999999998</v>
      </c>
      <c r="K1120">
        <v>0.1</v>
      </c>
      <c r="L1120">
        <v>11077.35</v>
      </c>
      <c r="M1120" s="1" t="s">
        <v>28</v>
      </c>
    </row>
    <row r="1121" spans="1:13" x14ac:dyDescent="0.3">
      <c r="A1121" s="1" t="s">
        <v>1913</v>
      </c>
      <c r="B1121" s="2">
        <v>45940</v>
      </c>
      <c r="C1121" s="1" t="s">
        <v>961</v>
      </c>
      <c r="D1121" s="1" t="s">
        <v>962</v>
      </c>
      <c r="E1121" s="1" t="s">
        <v>16</v>
      </c>
      <c r="F1121" s="1" t="s">
        <v>69</v>
      </c>
      <c r="G1121" s="1" t="s">
        <v>32</v>
      </c>
      <c r="H1121" s="1" t="s">
        <v>79</v>
      </c>
      <c r="I1121">
        <v>10</v>
      </c>
      <c r="J1121">
        <v>132290.09</v>
      </c>
      <c r="K1121">
        <v>0.15</v>
      </c>
      <c r="L1121">
        <v>27414.67</v>
      </c>
      <c r="M1121" s="1" t="s">
        <v>28</v>
      </c>
    </row>
    <row r="1122" spans="1:13" x14ac:dyDescent="0.3">
      <c r="A1122" s="1" t="s">
        <v>1914</v>
      </c>
      <c r="B1122" s="2">
        <v>45726</v>
      </c>
      <c r="C1122" s="1" t="s">
        <v>205</v>
      </c>
      <c r="D1122" s="1" t="s">
        <v>206</v>
      </c>
      <c r="E1122" s="1" t="s">
        <v>24</v>
      </c>
      <c r="F1122" s="1" t="s">
        <v>25</v>
      </c>
      <c r="G1122" s="1" t="s">
        <v>32</v>
      </c>
      <c r="H1122" s="1" t="s">
        <v>33</v>
      </c>
      <c r="I1122">
        <v>4</v>
      </c>
      <c r="J1122">
        <v>64049.62</v>
      </c>
      <c r="K1122">
        <v>0.15</v>
      </c>
      <c r="L1122">
        <v>15188.11</v>
      </c>
      <c r="M1122" s="1" t="s">
        <v>39</v>
      </c>
    </row>
    <row r="1123" spans="1:13" x14ac:dyDescent="0.3">
      <c r="A1123" s="1" t="s">
        <v>1915</v>
      </c>
      <c r="B1123" s="2">
        <v>45805</v>
      </c>
      <c r="C1123" s="1" t="s">
        <v>1916</v>
      </c>
      <c r="D1123" s="1" t="s">
        <v>1917</v>
      </c>
      <c r="E1123" s="1" t="s">
        <v>43</v>
      </c>
      <c r="F1123" s="1" t="s">
        <v>69</v>
      </c>
      <c r="G1123" s="1" t="s">
        <v>32</v>
      </c>
      <c r="H1123" s="1" t="s">
        <v>79</v>
      </c>
      <c r="I1123">
        <v>10</v>
      </c>
      <c r="J1123">
        <v>174431.61</v>
      </c>
      <c r="K1123">
        <v>0.1</v>
      </c>
      <c r="L1123">
        <v>30750.13</v>
      </c>
      <c r="M1123" s="1" t="s">
        <v>50</v>
      </c>
    </row>
    <row r="1124" spans="1:13" x14ac:dyDescent="0.3">
      <c r="A1124" s="1" t="s">
        <v>1918</v>
      </c>
      <c r="B1124" s="2">
        <v>45668</v>
      </c>
      <c r="C1124" s="1" t="s">
        <v>434</v>
      </c>
      <c r="D1124" s="1" t="s">
        <v>435</v>
      </c>
      <c r="E1124" s="1" t="s">
        <v>43</v>
      </c>
      <c r="F1124" s="1" t="s">
        <v>25</v>
      </c>
      <c r="G1124" s="1" t="s">
        <v>32</v>
      </c>
      <c r="H1124" s="1" t="s">
        <v>38</v>
      </c>
      <c r="I1124">
        <v>8</v>
      </c>
      <c r="J1124">
        <v>158657.32999999999</v>
      </c>
      <c r="K1124">
        <v>0.05</v>
      </c>
      <c r="L1124">
        <v>33153.449999999997</v>
      </c>
      <c r="M1124" s="1" t="s">
        <v>50</v>
      </c>
    </row>
    <row r="1125" spans="1:13" x14ac:dyDescent="0.3">
      <c r="A1125" s="1" t="s">
        <v>1919</v>
      </c>
      <c r="B1125" s="2">
        <v>45911</v>
      </c>
      <c r="C1125" s="1" t="s">
        <v>1883</v>
      </c>
      <c r="D1125" s="1" t="s">
        <v>1884</v>
      </c>
      <c r="E1125" s="1" t="s">
        <v>24</v>
      </c>
      <c r="F1125" s="1" t="s">
        <v>25</v>
      </c>
      <c r="G1125" s="1" t="s">
        <v>44</v>
      </c>
      <c r="H1125" s="1" t="s">
        <v>45</v>
      </c>
      <c r="I1125">
        <v>6</v>
      </c>
      <c r="J1125">
        <v>33505.54</v>
      </c>
      <c r="K1125">
        <v>0.15</v>
      </c>
      <c r="L1125">
        <v>6570.87</v>
      </c>
      <c r="M1125" s="1" t="s">
        <v>28</v>
      </c>
    </row>
    <row r="1126" spans="1:13" x14ac:dyDescent="0.3">
      <c r="A1126" s="1" t="s">
        <v>1920</v>
      </c>
      <c r="B1126" s="2">
        <v>45987</v>
      </c>
      <c r="C1126" s="1" t="s">
        <v>1757</v>
      </c>
      <c r="D1126" s="1" t="s">
        <v>1758</v>
      </c>
      <c r="E1126" s="1" t="s">
        <v>74</v>
      </c>
      <c r="F1126" s="1" t="s">
        <v>25</v>
      </c>
      <c r="G1126" s="1" t="s">
        <v>26</v>
      </c>
      <c r="H1126" s="1" t="s">
        <v>231</v>
      </c>
      <c r="I1126">
        <v>2</v>
      </c>
      <c r="J1126">
        <v>5641.45</v>
      </c>
      <c r="K1126">
        <v>0.1</v>
      </c>
      <c r="L1126">
        <v>1165.31</v>
      </c>
      <c r="M1126" s="1" t="s">
        <v>55</v>
      </c>
    </row>
    <row r="1127" spans="1:13" x14ac:dyDescent="0.3">
      <c r="A1127" s="1" t="s">
        <v>1921</v>
      </c>
      <c r="B1127" s="2">
        <v>46017</v>
      </c>
      <c r="C1127" s="1" t="s">
        <v>866</v>
      </c>
      <c r="D1127" s="1" t="s">
        <v>867</v>
      </c>
      <c r="E1127" s="1" t="s">
        <v>43</v>
      </c>
      <c r="F1127" s="1" t="s">
        <v>25</v>
      </c>
      <c r="G1127" s="1" t="s">
        <v>44</v>
      </c>
      <c r="H1127" s="1" t="s">
        <v>75</v>
      </c>
      <c r="I1127">
        <v>8</v>
      </c>
      <c r="J1127">
        <v>107778.14</v>
      </c>
      <c r="K1127">
        <v>0.05</v>
      </c>
      <c r="L1127">
        <v>18754.95</v>
      </c>
      <c r="M1127" s="1" t="s">
        <v>20</v>
      </c>
    </row>
    <row r="1128" spans="1:13" x14ac:dyDescent="0.3">
      <c r="A1128" s="1" t="s">
        <v>1922</v>
      </c>
      <c r="B1128" s="2">
        <v>45695</v>
      </c>
      <c r="C1128" s="1" t="s">
        <v>160</v>
      </c>
      <c r="D1128" s="1" t="s">
        <v>161</v>
      </c>
      <c r="E1128" s="1" t="s">
        <v>74</v>
      </c>
      <c r="F1128" s="1" t="s">
        <v>25</v>
      </c>
      <c r="G1128" s="1" t="s">
        <v>44</v>
      </c>
      <c r="H1128" s="1" t="s">
        <v>45</v>
      </c>
      <c r="I1128">
        <v>6</v>
      </c>
      <c r="J1128">
        <v>54826.559999999998</v>
      </c>
      <c r="K1128">
        <v>0.05</v>
      </c>
      <c r="L1128">
        <v>8393.76</v>
      </c>
      <c r="M1128" s="1" t="s">
        <v>20</v>
      </c>
    </row>
    <row r="1129" spans="1:13" x14ac:dyDescent="0.3">
      <c r="A1129" s="1" t="s">
        <v>1923</v>
      </c>
      <c r="B1129" s="2">
        <v>45791</v>
      </c>
      <c r="C1129" s="1" t="s">
        <v>1335</v>
      </c>
      <c r="D1129" s="1" t="s">
        <v>1336</v>
      </c>
      <c r="E1129" s="1" t="s">
        <v>37</v>
      </c>
      <c r="F1129" s="1" t="s">
        <v>69</v>
      </c>
      <c r="G1129" s="1" t="s">
        <v>32</v>
      </c>
      <c r="H1129" s="1" t="s">
        <v>54</v>
      </c>
      <c r="I1129">
        <v>5</v>
      </c>
      <c r="J1129">
        <v>56772.05</v>
      </c>
      <c r="K1129">
        <v>0.1</v>
      </c>
      <c r="L1129">
        <v>14489.44</v>
      </c>
      <c r="M1129" s="1" t="s">
        <v>50</v>
      </c>
    </row>
    <row r="1130" spans="1:13" x14ac:dyDescent="0.3">
      <c r="A1130" s="1" t="s">
        <v>1924</v>
      </c>
      <c r="B1130" s="2">
        <v>45857</v>
      </c>
      <c r="C1130" s="1" t="s">
        <v>665</v>
      </c>
      <c r="D1130" s="1" t="s">
        <v>666</v>
      </c>
      <c r="E1130" s="1" t="s">
        <v>74</v>
      </c>
      <c r="F1130" s="1" t="s">
        <v>17</v>
      </c>
      <c r="G1130" s="1" t="s">
        <v>44</v>
      </c>
      <c r="H1130" s="1" t="s">
        <v>45</v>
      </c>
      <c r="I1130">
        <v>1</v>
      </c>
      <c r="J1130">
        <v>6961.57</v>
      </c>
      <c r="K1130">
        <v>0.2</v>
      </c>
      <c r="L1130">
        <v>1183.3499999999999</v>
      </c>
      <c r="M1130" s="1" t="s">
        <v>28</v>
      </c>
    </row>
    <row r="1131" spans="1:13" x14ac:dyDescent="0.3">
      <c r="A1131" s="1" t="s">
        <v>1925</v>
      </c>
      <c r="B1131" s="2">
        <v>45680</v>
      </c>
      <c r="C1131" s="1" t="s">
        <v>1621</v>
      </c>
      <c r="D1131" s="1" t="s">
        <v>1622</v>
      </c>
      <c r="E1131" s="1" t="s">
        <v>16</v>
      </c>
      <c r="F1131" s="1" t="s">
        <v>25</v>
      </c>
      <c r="G1131" s="1" t="s">
        <v>26</v>
      </c>
      <c r="H1131" s="1" t="s">
        <v>231</v>
      </c>
      <c r="I1131">
        <v>7</v>
      </c>
      <c r="J1131">
        <v>15282.28</v>
      </c>
      <c r="K1131">
        <v>0.1</v>
      </c>
      <c r="L1131">
        <v>4029.22</v>
      </c>
      <c r="M1131" s="1" t="s">
        <v>20</v>
      </c>
    </row>
    <row r="1132" spans="1:13" x14ac:dyDescent="0.3">
      <c r="A1132" s="1" t="s">
        <v>1926</v>
      </c>
      <c r="B1132" s="2">
        <v>45960</v>
      </c>
      <c r="C1132" s="1" t="s">
        <v>1927</v>
      </c>
      <c r="D1132" s="1" t="s">
        <v>1928</v>
      </c>
      <c r="E1132" s="1" t="s">
        <v>37</v>
      </c>
      <c r="F1132" s="1" t="s">
        <v>69</v>
      </c>
      <c r="G1132" s="1" t="s">
        <v>18</v>
      </c>
      <c r="H1132" s="1" t="s">
        <v>145</v>
      </c>
      <c r="I1132">
        <v>7</v>
      </c>
      <c r="J1132">
        <v>7112.7</v>
      </c>
      <c r="K1132">
        <v>0.05</v>
      </c>
      <c r="L1132">
        <v>2180.4299999999998</v>
      </c>
      <c r="M1132" s="1" t="s">
        <v>28</v>
      </c>
    </row>
    <row r="1133" spans="1:13" x14ac:dyDescent="0.3">
      <c r="A1133" s="1" t="s">
        <v>1929</v>
      </c>
      <c r="B1133" s="2">
        <v>46003</v>
      </c>
      <c r="C1133" s="1" t="s">
        <v>707</v>
      </c>
      <c r="D1133" s="1" t="s">
        <v>708</v>
      </c>
      <c r="E1133" s="1" t="s">
        <v>43</v>
      </c>
      <c r="F1133" s="1" t="s">
        <v>25</v>
      </c>
      <c r="G1133" s="1" t="s">
        <v>32</v>
      </c>
      <c r="H1133" s="1" t="s">
        <v>38</v>
      </c>
      <c r="I1133">
        <v>10</v>
      </c>
      <c r="J1133">
        <v>188657.82</v>
      </c>
      <c r="K1133">
        <v>0.1</v>
      </c>
      <c r="L1133">
        <v>40379.410000000003</v>
      </c>
      <c r="M1133" s="1" t="s">
        <v>50</v>
      </c>
    </row>
    <row r="1134" spans="1:13" x14ac:dyDescent="0.3">
      <c r="A1134" s="1" t="s">
        <v>1930</v>
      </c>
      <c r="B1134" s="2">
        <v>45959</v>
      </c>
      <c r="C1134" s="1" t="s">
        <v>369</v>
      </c>
      <c r="D1134" s="1" t="s">
        <v>370</v>
      </c>
      <c r="E1134" s="1" t="s">
        <v>37</v>
      </c>
      <c r="F1134" s="1" t="s">
        <v>69</v>
      </c>
      <c r="G1134" s="1" t="s">
        <v>44</v>
      </c>
      <c r="H1134" s="1" t="s">
        <v>45</v>
      </c>
      <c r="I1134">
        <v>2</v>
      </c>
      <c r="J1134">
        <v>11254.36</v>
      </c>
      <c r="K1134">
        <v>0</v>
      </c>
      <c r="L1134">
        <v>1978.59</v>
      </c>
      <c r="M1134" s="1" t="s">
        <v>28</v>
      </c>
    </row>
    <row r="1135" spans="1:13" x14ac:dyDescent="0.3">
      <c r="A1135" s="1" t="s">
        <v>1931</v>
      </c>
      <c r="B1135" s="2">
        <v>46020</v>
      </c>
      <c r="C1135" s="1" t="s">
        <v>1165</v>
      </c>
      <c r="D1135" s="1" t="s">
        <v>1166</v>
      </c>
      <c r="E1135" s="1" t="s">
        <v>16</v>
      </c>
      <c r="F1135" s="1" t="s">
        <v>25</v>
      </c>
      <c r="G1135" s="1" t="s">
        <v>44</v>
      </c>
      <c r="H1135" s="1" t="s">
        <v>90</v>
      </c>
      <c r="I1135">
        <v>2</v>
      </c>
      <c r="J1135">
        <v>20583.830000000002</v>
      </c>
      <c r="K1135">
        <v>0.15</v>
      </c>
      <c r="L1135">
        <v>3257.12</v>
      </c>
      <c r="M1135" s="1" t="s">
        <v>28</v>
      </c>
    </row>
    <row r="1136" spans="1:13" x14ac:dyDescent="0.3">
      <c r="A1136" s="1" t="s">
        <v>1932</v>
      </c>
      <c r="B1136" s="2">
        <v>45875</v>
      </c>
      <c r="C1136" s="1" t="s">
        <v>1132</v>
      </c>
      <c r="D1136" s="1" t="s">
        <v>1133</v>
      </c>
      <c r="E1136" s="1" t="s">
        <v>74</v>
      </c>
      <c r="F1136" s="1" t="s">
        <v>25</v>
      </c>
      <c r="G1136" s="1" t="s">
        <v>26</v>
      </c>
      <c r="H1136" s="1" t="s">
        <v>86</v>
      </c>
      <c r="I1136">
        <v>8</v>
      </c>
      <c r="J1136">
        <v>30752.36</v>
      </c>
      <c r="K1136">
        <v>0.2</v>
      </c>
      <c r="L1136">
        <v>8547.9500000000007</v>
      </c>
      <c r="M1136" s="1" t="s">
        <v>50</v>
      </c>
    </row>
    <row r="1137" spans="1:13" x14ac:dyDescent="0.3">
      <c r="A1137" s="1" t="s">
        <v>1933</v>
      </c>
      <c r="B1137" s="2">
        <v>45798</v>
      </c>
      <c r="C1137" s="1" t="s">
        <v>1934</v>
      </c>
      <c r="D1137" s="1" t="s">
        <v>1935</v>
      </c>
      <c r="E1137" s="1" t="s">
        <v>43</v>
      </c>
      <c r="F1137" s="1" t="s">
        <v>17</v>
      </c>
      <c r="G1137" s="1" t="s">
        <v>18</v>
      </c>
      <c r="H1137" s="1" t="s">
        <v>145</v>
      </c>
      <c r="I1137">
        <v>1</v>
      </c>
      <c r="J1137">
        <v>1930.71</v>
      </c>
      <c r="K1137">
        <v>0.05</v>
      </c>
      <c r="L1137">
        <v>453.08</v>
      </c>
      <c r="M1137" s="1" t="s">
        <v>39</v>
      </c>
    </row>
    <row r="1138" spans="1:13" x14ac:dyDescent="0.3">
      <c r="A1138" s="1" t="s">
        <v>1936</v>
      </c>
      <c r="B1138" s="2">
        <v>45761</v>
      </c>
      <c r="C1138" s="1" t="s">
        <v>1509</v>
      </c>
      <c r="D1138" s="1" t="s">
        <v>1510</v>
      </c>
      <c r="E1138" s="1" t="s">
        <v>37</v>
      </c>
      <c r="F1138" s="1" t="s">
        <v>69</v>
      </c>
      <c r="G1138" s="1" t="s">
        <v>18</v>
      </c>
      <c r="H1138" s="1" t="s">
        <v>19</v>
      </c>
      <c r="I1138">
        <v>1</v>
      </c>
      <c r="J1138">
        <v>994.01</v>
      </c>
      <c r="K1138">
        <v>0.2</v>
      </c>
      <c r="L1138">
        <v>301.16000000000003</v>
      </c>
      <c r="M1138" s="1" t="s">
        <v>28</v>
      </c>
    </row>
    <row r="1139" spans="1:13" x14ac:dyDescent="0.3">
      <c r="A1139" s="1" t="s">
        <v>1937</v>
      </c>
      <c r="B1139" s="2">
        <v>45867</v>
      </c>
      <c r="C1139" s="1" t="s">
        <v>1621</v>
      </c>
      <c r="D1139" s="1" t="s">
        <v>1622</v>
      </c>
      <c r="E1139" s="1" t="s">
        <v>37</v>
      </c>
      <c r="F1139" s="1" t="s">
        <v>69</v>
      </c>
      <c r="G1139" s="1" t="s">
        <v>18</v>
      </c>
      <c r="H1139" s="1" t="s">
        <v>97</v>
      </c>
      <c r="I1139">
        <v>10</v>
      </c>
      <c r="J1139">
        <v>22693</v>
      </c>
      <c r="K1139">
        <v>0.1</v>
      </c>
      <c r="L1139">
        <v>6851.06</v>
      </c>
      <c r="M1139" s="1" t="s">
        <v>20</v>
      </c>
    </row>
    <row r="1140" spans="1:13" x14ac:dyDescent="0.3">
      <c r="A1140" s="1" t="s">
        <v>1938</v>
      </c>
      <c r="B1140" s="2">
        <v>45768</v>
      </c>
      <c r="C1140" s="1" t="s">
        <v>1072</v>
      </c>
      <c r="D1140" s="1" t="s">
        <v>1073</v>
      </c>
      <c r="E1140" s="1" t="s">
        <v>24</v>
      </c>
      <c r="F1140" s="1" t="s">
        <v>25</v>
      </c>
      <c r="G1140" s="1" t="s">
        <v>18</v>
      </c>
      <c r="H1140" s="1" t="s">
        <v>19</v>
      </c>
      <c r="I1140">
        <v>5</v>
      </c>
      <c r="J1140">
        <v>8771.81</v>
      </c>
      <c r="K1140">
        <v>0.15</v>
      </c>
      <c r="L1140">
        <v>2180.0300000000002</v>
      </c>
      <c r="M1140" s="1" t="s">
        <v>39</v>
      </c>
    </row>
    <row r="1141" spans="1:13" x14ac:dyDescent="0.3">
      <c r="A1141" s="1" t="s">
        <v>1939</v>
      </c>
      <c r="B1141" s="2">
        <v>45761</v>
      </c>
      <c r="C1141" s="1" t="s">
        <v>875</v>
      </c>
      <c r="D1141" s="1" t="s">
        <v>876</v>
      </c>
      <c r="E1141" s="1" t="s">
        <v>43</v>
      </c>
      <c r="F1141" s="1" t="s">
        <v>25</v>
      </c>
      <c r="G1141" s="1" t="s">
        <v>18</v>
      </c>
      <c r="H1141" s="1" t="s">
        <v>19</v>
      </c>
      <c r="I1141">
        <v>7</v>
      </c>
      <c r="J1141">
        <v>11476.92</v>
      </c>
      <c r="K1141">
        <v>0</v>
      </c>
      <c r="L1141">
        <v>2860.48</v>
      </c>
      <c r="M1141" s="1" t="s">
        <v>20</v>
      </c>
    </row>
    <row r="1142" spans="1:13" x14ac:dyDescent="0.3">
      <c r="A1142" s="1" t="s">
        <v>1940</v>
      </c>
      <c r="B1142" s="2">
        <v>45973</v>
      </c>
      <c r="C1142" s="1" t="s">
        <v>1941</v>
      </c>
      <c r="D1142" s="1" t="s">
        <v>1942</v>
      </c>
      <c r="E1142" s="1" t="s">
        <v>43</v>
      </c>
      <c r="F1142" s="1" t="s">
        <v>25</v>
      </c>
      <c r="G1142" s="1" t="s">
        <v>26</v>
      </c>
      <c r="H1142" s="1" t="s">
        <v>49</v>
      </c>
      <c r="I1142">
        <v>6</v>
      </c>
      <c r="J1142">
        <v>10629.52</v>
      </c>
      <c r="K1142">
        <v>0.1</v>
      </c>
      <c r="L1142">
        <v>2269.65</v>
      </c>
      <c r="M1142" s="1" t="s">
        <v>28</v>
      </c>
    </row>
    <row r="1143" spans="1:13" x14ac:dyDescent="0.3">
      <c r="A1143" s="1" t="s">
        <v>1943</v>
      </c>
      <c r="B1143" s="2">
        <v>45828</v>
      </c>
      <c r="C1143" s="1" t="s">
        <v>95</v>
      </c>
      <c r="D1143" s="1" t="s">
        <v>96</v>
      </c>
      <c r="E1143" s="1" t="s">
        <v>43</v>
      </c>
      <c r="F1143" s="1" t="s">
        <v>69</v>
      </c>
      <c r="G1143" s="1" t="s">
        <v>32</v>
      </c>
      <c r="H1143" s="1" t="s">
        <v>54</v>
      </c>
      <c r="I1143">
        <v>2</v>
      </c>
      <c r="J1143">
        <v>23215.26</v>
      </c>
      <c r="K1143">
        <v>0.15</v>
      </c>
      <c r="L1143">
        <v>5351.28</v>
      </c>
      <c r="M1143" s="1" t="s">
        <v>50</v>
      </c>
    </row>
    <row r="1144" spans="1:13" x14ac:dyDescent="0.3">
      <c r="A1144" s="1" t="s">
        <v>1944</v>
      </c>
      <c r="B1144" s="2">
        <v>46013</v>
      </c>
      <c r="C1144" s="1" t="s">
        <v>199</v>
      </c>
      <c r="D1144" s="1" t="s">
        <v>200</v>
      </c>
      <c r="E1144" s="1" t="s">
        <v>43</v>
      </c>
      <c r="F1144" s="1" t="s">
        <v>69</v>
      </c>
      <c r="G1144" s="1" t="s">
        <v>32</v>
      </c>
      <c r="H1144" s="1" t="s">
        <v>59</v>
      </c>
      <c r="I1144">
        <v>3</v>
      </c>
      <c r="J1144">
        <v>43995.26</v>
      </c>
      <c r="K1144">
        <v>0.1</v>
      </c>
      <c r="L1144">
        <v>11837.34</v>
      </c>
      <c r="M1144" s="1" t="s">
        <v>55</v>
      </c>
    </row>
    <row r="1145" spans="1:13" x14ac:dyDescent="0.3">
      <c r="A1145" s="1" t="s">
        <v>1945</v>
      </c>
      <c r="B1145" s="2">
        <v>45981</v>
      </c>
      <c r="C1145" s="1" t="s">
        <v>1282</v>
      </c>
      <c r="D1145" s="1" t="s">
        <v>1283</v>
      </c>
      <c r="E1145" s="1" t="s">
        <v>74</v>
      </c>
      <c r="F1145" s="1" t="s">
        <v>25</v>
      </c>
      <c r="G1145" s="1" t="s">
        <v>44</v>
      </c>
      <c r="H1145" s="1" t="s">
        <v>155</v>
      </c>
      <c r="I1145">
        <v>8</v>
      </c>
      <c r="J1145">
        <v>47693.53</v>
      </c>
      <c r="K1145">
        <v>0.1</v>
      </c>
      <c r="L1145">
        <v>10402.9</v>
      </c>
      <c r="M1145" s="1" t="s">
        <v>55</v>
      </c>
    </row>
    <row r="1146" spans="1:13" x14ac:dyDescent="0.3">
      <c r="A1146" s="1" t="s">
        <v>1946</v>
      </c>
      <c r="B1146" s="2">
        <v>45790</v>
      </c>
      <c r="C1146" s="1" t="s">
        <v>648</v>
      </c>
      <c r="D1146" s="1" t="s">
        <v>649</v>
      </c>
      <c r="E1146" s="1" t="s">
        <v>24</v>
      </c>
      <c r="F1146" s="1" t="s">
        <v>25</v>
      </c>
      <c r="G1146" s="1" t="s">
        <v>26</v>
      </c>
      <c r="H1146" s="1" t="s">
        <v>244</v>
      </c>
      <c r="I1146">
        <v>7</v>
      </c>
      <c r="J1146">
        <v>29692.78</v>
      </c>
      <c r="K1146">
        <v>0.05</v>
      </c>
      <c r="L1146">
        <v>8288.7000000000007</v>
      </c>
      <c r="M1146" s="1" t="s">
        <v>28</v>
      </c>
    </row>
    <row r="1147" spans="1:13" x14ac:dyDescent="0.3">
      <c r="A1147" s="1" t="s">
        <v>1947</v>
      </c>
      <c r="B1147" s="2">
        <v>45950</v>
      </c>
      <c r="C1147" s="1" t="s">
        <v>761</v>
      </c>
      <c r="D1147" s="1" t="s">
        <v>762</v>
      </c>
      <c r="E1147" s="1" t="s">
        <v>24</v>
      </c>
      <c r="F1147" s="1" t="s">
        <v>25</v>
      </c>
      <c r="G1147" s="1" t="s">
        <v>26</v>
      </c>
      <c r="H1147" s="1" t="s">
        <v>49</v>
      </c>
      <c r="I1147">
        <v>3</v>
      </c>
      <c r="J1147">
        <v>11299.89</v>
      </c>
      <c r="K1147">
        <v>0.1</v>
      </c>
      <c r="L1147">
        <v>3055.59</v>
      </c>
      <c r="M1147" s="1" t="s">
        <v>28</v>
      </c>
    </row>
    <row r="1148" spans="1:13" x14ac:dyDescent="0.3">
      <c r="A1148" s="1" t="s">
        <v>1948</v>
      </c>
      <c r="B1148" s="2">
        <v>45985</v>
      </c>
      <c r="C1148" s="1" t="s">
        <v>102</v>
      </c>
      <c r="D1148" s="1" t="s">
        <v>103</v>
      </c>
      <c r="E1148" s="1" t="s">
        <v>24</v>
      </c>
      <c r="F1148" s="1" t="s">
        <v>69</v>
      </c>
      <c r="G1148" s="1" t="s">
        <v>26</v>
      </c>
      <c r="H1148" s="1" t="s">
        <v>86</v>
      </c>
      <c r="I1148">
        <v>4</v>
      </c>
      <c r="J1148">
        <v>14218.31</v>
      </c>
      <c r="K1148">
        <v>0.1</v>
      </c>
      <c r="L1148">
        <v>3482.04</v>
      </c>
      <c r="M1148" s="1" t="s">
        <v>55</v>
      </c>
    </row>
    <row r="1149" spans="1:13" x14ac:dyDescent="0.3">
      <c r="A1149" s="1" t="s">
        <v>1949</v>
      </c>
      <c r="B1149" s="2">
        <v>45784</v>
      </c>
      <c r="C1149" s="1" t="s">
        <v>1757</v>
      </c>
      <c r="D1149" s="1" t="s">
        <v>1758</v>
      </c>
      <c r="E1149" s="1" t="s">
        <v>43</v>
      </c>
      <c r="F1149" s="1" t="s">
        <v>69</v>
      </c>
      <c r="G1149" s="1" t="s">
        <v>26</v>
      </c>
      <c r="H1149" s="1" t="s">
        <v>244</v>
      </c>
      <c r="I1149">
        <v>4</v>
      </c>
      <c r="J1149">
        <v>18569.29</v>
      </c>
      <c r="K1149">
        <v>0</v>
      </c>
      <c r="L1149">
        <v>3931.32</v>
      </c>
      <c r="M1149" s="1" t="s">
        <v>28</v>
      </c>
    </row>
    <row r="1150" spans="1:13" x14ac:dyDescent="0.3">
      <c r="A1150" s="1" t="s">
        <v>1950</v>
      </c>
      <c r="B1150" s="2">
        <v>45763</v>
      </c>
      <c r="C1150" s="1" t="s">
        <v>130</v>
      </c>
      <c r="D1150" s="1" t="s">
        <v>131</v>
      </c>
      <c r="E1150" s="1" t="s">
        <v>37</v>
      </c>
      <c r="F1150" s="1" t="s">
        <v>69</v>
      </c>
      <c r="G1150" s="1" t="s">
        <v>26</v>
      </c>
      <c r="H1150" s="1" t="s">
        <v>49</v>
      </c>
      <c r="I1150">
        <v>7</v>
      </c>
      <c r="J1150">
        <v>21607.49</v>
      </c>
      <c r="K1150">
        <v>0</v>
      </c>
      <c r="L1150">
        <v>6183.57</v>
      </c>
      <c r="M1150" s="1" t="s">
        <v>28</v>
      </c>
    </row>
    <row r="1151" spans="1:13" x14ac:dyDescent="0.3">
      <c r="A1151" s="1" t="s">
        <v>1951</v>
      </c>
      <c r="B1151" s="2">
        <v>45749</v>
      </c>
      <c r="C1151" s="1" t="s">
        <v>893</v>
      </c>
      <c r="D1151" s="1" t="s">
        <v>894</v>
      </c>
      <c r="E1151" s="1" t="s">
        <v>16</v>
      </c>
      <c r="F1151" s="1" t="s">
        <v>25</v>
      </c>
      <c r="G1151" s="1" t="s">
        <v>44</v>
      </c>
      <c r="H1151" s="1" t="s">
        <v>90</v>
      </c>
      <c r="I1151">
        <v>4</v>
      </c>
      <c r="J1151">
        <v>26694.83</v>
      </c>
      <c r="K1151">
        <v>0.1</v>
      </c>
      <c r="L1151">
        <v>4967.79</v>
      </c>
      <c r="M1151" s="1" t="s">
        <v>28</v>
      </c>
    </row>
    <row r="1152" spans="1:13" x14ac:dyDescent="0.3">
      <c r="A1152" s="1" t="s">
        <v>1952</v>
      </c>
      <c r="B1152" s="2">
        <v>45944</v>
      </c>
      <c r="C1152" s="1" t="s">
        <v>609</v>
      </c>
      <c r="D1152" s="1" t="s">
        <v>610</v>
      </c>
      <c r="E1152" s="1" t="s">
        <v>43</v>
      </c>
      <c r="F1152" s="1" t="s">
        <v>25</v>
      </c>
      <c r="G1152" s="1" t="s">
        <v>18</v>
      </c>
      <c r="H1152" s="1" t="s">
        <v>141</v>
      </c>
      <c r="I1152">
        <v>1</v>
      </c>
      <c r="J1152">
        <v>2109.0100000000002</v>
      </c>
      <c r="K1152">
        <v>0.05</v>
      </c>
      <c r="L1152">
        <v>621.11</v>
      </c>
      <c r="M1152" s="1" t="s">
        <v>20</v>
      </c>
    </row>
    <row r="1153" spans="1:13" x14ac:dyDescent="0.3">
      <c r="A1153" s="1" t="s">
        <v>1953</v>
      </c>
      <c r="B1153" s="2">
        <v>45708</v>
      </c>
      <c r="C1153" s="1" t="s">
        <v>184</v>
      </c>
      <c r="D1153" s="1" t="s">
        <v>185</v>
      </c>
      <c r="E1153" s="1" t="s">
        <v>16</v>
      </c>
      <c r="F1153" s="1" t="s">
        <v>17</v>
      </c>
      <c r="G1153" s="1" t="s">
        <v>18</v>
      </c>
      <c r="H1153" s="1" t="s">
        <v>122</v>
      </c>
      <c r="I1153">
        <v>10</v>
      </c>
      <c r="J1153">
        <v>11209.74</v>
      </c>
      <c r="K1153">
        <v>0.15</v>
      </c>
      <c r="L1153">
        <v>3392.19</v>
      </c>
      <c r="M1153" s="1" t="s">
        <v>55</v>
      </c>
    </row>
    <row r="1154" spans="1:13" x14ac:dyDescent="0.3">
      <c r="A1154" s="1" t="s">
        <v>1954</v>
      </c>
      <c r="B1154" s="2">
        <v>45686</v>
      </c>
      <c r="C1154" s="1" t="s">
        <v>184</v>
      </c>
      <c r="D1154" s="1" t="s">
        <v>185</v>
      </c>
      <c r="E1154" s="1" t="s">
        <v>74</v>
      </c>
      <c r="F1154" s="1" t="s">
        <v>25</v>
      </c>
      <c r="G1154" s="1" t="s">
        <v>26</v>
      </c>
      <c r="H1154" s="1" t="s">
        <v>86</v>
      </c>
      <c r="I1154">
        <v>8</v>
      </c>
      <c r="J1154">
        <v>16485.93</v>
      </c>
      <c r="K1154">
        <v>0.1</v>
      </c>
      <c r="L1154">
        <v>3863.36</v>
      </c>
      <c r="M1154" s="1" t="s">
        <v>55</v>
      </c>
    </row>
    <row r="1155" spans="1:13" x14ac:dyDescent="0.3">
      <c r="A1155" s="1" t="s">
        <v>1955</v>
      </c>
      <c r="B1155" s="2">
        <v>45953</v>
      </c>
      <c r="C1155" s="1" t="s">
        <v>1956</v>
      </c>
      <c r="D1155" s="1" t="s">
        <v>1957</v>
      </c>
      <c r="E1155" s="1" t="s">
        <v>24</v>
      </c>
      <c r="F1155" s="1" t="s">
        <v>69</v>
      </c>
      <c r="G1155" s="1" t="s">
        <v>44</v>
      </c>
      <c r="H1155" s="1" t="s">
        <v>45</v>
      </c>
      <c r="I1155">
        <v>2</v>
      </c>
      <c r="J1155">
        <v>24347.16</v>
      </c>
      <c r="K1155">
        <v>0.05</v>
      </c>
      <c r="L1155">
        <v>4011.52</v>
      </c>
      <c r="M1155" s="1" t="s">
        <v>39</v>
      </c>
    </row>
    <row r="1156" spans="1:13" x14ac:dyDescent="0.3">
      <c r="A1156" s="1" t="s">
        <v>1958</v>
      </c>
      <c r="B1156" s="2">
        <v>45954</v>
      </c>
      <c r="C1156" s="1" t="s">
        <v>561</v>
      </c>
      <c r="D1156" s="1" t="s">
        <v>562</v>
      </c>
      <c r="E1156" s="1" t="s">
        <v>74</v>
      </c>
      <c r="F1156" s="1" t="s">
        <v>25</v>
      </c>
      <c r="G1156" s="1" t="s">
        <v>18</v>
      </c>
      <c r="H1156" s="1" t="s">
        <v>97</v>
      </c>
      <c r="I1156">
        <v>1</v>
      </c>
      <c r="J1156">
        <v>2507.0300000000002</v>
      </c>
      <c r="K1156">
        <v>0.1</v>
      </c>
      <c r="L1156">
        <v>705.5</v>
      </c>
      <c r="M1156" s="1" t="s">
        <v>20</v>
      </c>
    </row>
    <row r="1157" spans="1:13" x14ac:dyDescent="0.3">
      <c r="A1157" s="1" t="s">
        <v>1959</v>
      </c>
      <c r="B1157" s="2">
        <v>45871</v>
      </c>
      <c r="C1157" s="1" t="s">
        <v>643</v>
      </c>
      <c r="D1157" s="1" t="s">
        <v>644</v>
      </c>
      <c r="E1157" s="1" t="s">
        <v>43</v>
      </c>
      <c r="F1157" s="1" t="s">
        <v>17</v>
      </c>
      <c r="G1157" s="1" t="s">
        <v>18</v>
      </c>
      <c r="H1157" s="1" t="s">
        <v>97</v>
      </c>
      <c r="I1157">
        <v>9</v>
      </c>
      <c r="J1157">
        <v>14496.83</v>
      </c>
      <c r="K1157">
        <v>0.15</v>
      </c>
      <c r="L1157">
        <v>3339.4</v>
      </c>
      <c r="M1157" s="1" t="s">
        <v>39</v>
      </c>
    </row>
    <row r="1158" spans="1:13" x14ac:dyDescent="0.3">
      <c r="A1158" s="1" t="s">
        <v>1960</v>
      </c>
      <c r="B1158" s="2">
        <v>45924</v>
      </c>
      <c r="C1158" s="1" t="s">
        <v>936</v>
      </c>
      <c r="D1158" s="1" t="s">
        <v>937</v>
      </c>
      <c r="E1158" s="1" t="s">
        <v>37</v>
      </c>
      <c r="F1158" s="1" t="s">
        <v>25</v>
      </c>
      <c r="G1158" s="1" t="s">
        <v>18</v>
      </c>
      <c r="H1158" s="1" t="s">
        <v>145</v>
      </c>
      <c r="I1158">
        <v>7</v>
      </c>
      <c r="J1158">
        <v>14500.74</v>
      </c>
      <c r="K1158">
        <v>0.15</v>
      </c>
      <c r="L1158">
        <v>4692.1400000000003</v>
      </c>
      <c r="M1158" s="1" t="s">
        <v>55</v>
      </c>
    </row>
    <row r="1159" spans="1:13" x14ac:dyDescent="0.3">
      <c r="A1159" s="1" t="s">
        <v>1961</v>
      </c>
      <c r="B1159" s="2">
        <v>45914</v>
      </c>
      <c r="C1159" s="1" t="s">
        <v>880</v>
      </c>
      <c r="D1159" s="1" t="s">
        <v>881</v>
      </c>
      <c r="E1159" s="1" t="s">
        <v>43</v>
      </c>
      <c r="F1159" s="1" t="s">
        <v>69</v>
      </c>
      <c r="G1159" s="1" t="s">
        <v>44</v>
      </c>
      <c r="H1159" s="1" t="s">
        <v>155</v>
      </c>
      <c r="I1159">
        <v>8</v>
      </c>
      <c r="J1159">
        <v>51837.78</v>
      </c>
      <c r="K1159">
        <v>0.15</v>
      </c>
      <c r="L1159">
        <v>11735.26</v>
      </c>
      <c r="M1159" s="1" t="s">
        <v>28</v>
      </c>
    </row>
    <row r="1160" spans="1:13" x14ac:dyDescent="0.3">
      <c r="A1160" s="1" t="s">
        <v>1962</v>
      </c>
      <c r="B1160" s="2">
        <v>45959</v>
      </c>
      <c r="C1160" s="1" t="s">
        <v>1077</v>
      </c>
      <c r="D1160" s="1" t="s">
        <v>1078</v>
      </c>
      <c r="E1160" s="1" t="s">
        <v>37</v>
      </c>
      <c r="F1160" s="1" t="s">
        <v>25</v>
      </c>
      <c r="G1160" s="1" t="s">
        <v>32</v>
      </c>
      <c r="H1160" s="1" t="s">
        <v>59</v>
      </c>
      <c r="I1160">
        <v>6</v>
      </c>
      <c r="J1160">
        <v>64463.07</v>
      </c>
      <c r="K1160">
        <v>0.15</v>
      </c>
      <c r="L1160">
        <v>14483.48</v>
      </c>
      <c r="M1160" s="1" t="s">
        <v>50</v>
      </c>
    </row>
    <row r="1161" spans="1:13" x14ac:dyDescent="0.3">
      <c r="A1161" s="1" t="s">
        <v>1963</v>
      </c>
      <c r="B1161" s="2">
        <v>45758</v>
      </c>
      <c r="C1161" s="1" t="s">
        <v>1402</v>
      </c>
      <c r="D1161" s="1" t="s">
        <v>1403</v>
      </c>
      <c r="E1161" s="1" t="s">
        <v>43</v>
      </c>
      <c r="F1161" s="1" t="s">
        <v>25</v>
      </c>
      <c r="G1161" s="1" t="s">
        <v>18</v>
      </c>
      <c r="H1161" s="1" t="s">
        <v>141</v>
      </c>
      <c r="I1161">
        <v>1</v>
      </c>
      <c r="J1161">
        <v>1302.94</v>
      </c>
      <c r="K1161">
        <v>0.15</v>
      </c>
      <c r="L1161">
        <v>305.27999999999997</v>
      </c>
      <c r="M1161" s="1" t="s">
        <v>28</v>
      </c>
    </row>
    <row r="1162" spans="1:13" x14ac:dyDescent="0.3">
      <c r="A1162" s="1" t="s">
        <v>1964</v>
      </c>
      <c r="B1162" s="2">
        <v>46003</v>
      </c>
      <c r="C1162" s="1" t="s">
        <v>904</v>
      </c>
      <c r="D1162" s="1" t="s">
        <v>905</v>
      </c>
      <c r="E1162" s="1" t="s">
        <v>24</v>
      </c>
      <c r="F1162" s="1" t="s">
        <v>25</v>
      </c>
      <c r="G1162" s="1" t="s">
        <v>26</v>
      </c>
      <c r="H1162" s="1" t="s">
        <v>49</v>
      </c>
      <c r="I1162">
        <v>5</v>
      </c>
      <c r="J1162">
        <v>18059.91</v>
      </c>
      <c r="K1162">
        <v>0.2</v>
      </c>
      <c r="L1162">
        <v>3832.83</v>
      </c>
      <c r="M1162" s="1" t="s">
        <v>20</v>
      </c>
    </row>
    <row r="1163" spans="1:13" x14ac:dyDescent="0.3">
      <c r="A1163" s="1" t="s">
        <v>1965</v>
      </c>
      <c r="B1163" s="2">
        <v>45767</v>
      </c>
      <c r="C1163" s="1" t="s">
        <v>770</v>
      </c>
      <c r="D1163" s="1" t="s">
        <v>771</v>
      </c>
      <c r="E1163" s="1" t="s">
        <v>16</v>
      </c>
      <c r="F1163" s="1" t="s">
        <v>17</v>
      </c>
      <c r="G1163" s="1" t="s">
        <v>18</v>
      </c>
      <c r="H1163" s="1" t="s">
        <v>19</v>
      </c>
      <c r="I1163">
        <v>10</v>
      </c>
      <c r="J1163">
        <v>8973.66</v>
      </c>
      <c r="K1163">
        <v>0.1</v>
      </c>
      <c r="L1163">
        <v>2153.88</v>
      </c>
      <c r="M1163" s="1" t="s">
        <v>20</v>
      </c>
    </row>
    <row r="1164" spans="1:13" x14ac:dyDescent="0.3">
      <c r="A1164" s="1" t="s">
        <v>1966</v>
      </c>
      <c r="B1164" s="2">
        <v>45839</v>
      </c>
      <c r="C1164" s="1" t="s">
        <v>595</v>
      </c>
      <c r="D1164" s="1" t="s">
        <v>596</v>
      </c>
      <c r="E1164" s="1" t="s">
        <v>16</v>
      </c>
      <c r="F1164" s="1" t="s">
        <v>25</v>
      </c>
      <c r="G1164" s="1" t="s">
        <v>32</v>
      </c>
      <c r="H1164" s="1" t="s">
        <v>33</v>
      </c>
      <c r="I1164">
        <v>3</v>
      </c>
      <c r="J1164">
        <v>58027.88</v>
      </c>
      <c r="K1164">
        <v>0.05</v>
      </c>
      <c r="L1164">
        <v>15365.42</v>
      </c>
      <c r="M1164" s="1" t="s">
        <v>50</v>
      </c>
    </row>
    <row r="1165" spans="1:13" x14ac:dyDescent="0.3">
      <c r="A1165" s="1" t="s">
        <v>1967</v>
      </c>
      <c r="B1165" s="2">
        <v>45970</v>
      </c>
      <c r="C1165" s="1" t="s">
        <v>574</v>
      </c>
      <c r="D1165" s="1" t="s">
        <v>575</v>
      </c>
      <c r="E1165" s="1" t="s">
        <v>43</v>
      </c>
      <c r="F1165" s="1" t="s">
        <v>25</v>
      </c>
      <c r="G1165" s="1" t="s">
        <v>18</v>
      </c>
      <c r="H1165" s="1" t="s">
        <v>19</v>
      </c>
      <c r="I1165">
        <v>7</v>
      </c>
      <c r="J1165">
        <v>9697.48</v>
      </c>
      <c r="K1165">
        <v>0.15</v>
      </c>
      <c r="L1165">
        <v>2725.06</v>
      </c>
      <c r="M1165" s="1" t="s">
        <v>28</v>
      </c>
    </row>
    <row r="1166" spans="1:13" x14ac:dyDescent="0.3">
      <c r="A1166" s="1" t="s">
        <v>1968</v>
      </c>
      <c r="B1166" s="2">
        <v>45658</v>
      </c>
      <c r="C1166" s="1" t="s">
        <v>1402</v>
      </c>
      <c r="D1166" s="1" t="s">
        <v>1403</v>
      </c>
      <c r="E1166" s="1" t="s">
        <v>74</v>
      </c>
      <c r="F1166" s="1" t="s">
        <v>25</v>
      </c>
      <c r="G1166" s="1" t="s">
        <v>18</v>
      </c>
      <c r="H1166" s="1" t="s">
        <v>145</v>
      </c>
      <c r="I1166">
        <v>5</v>
      </c>
      <c r="J1166">
        <v>11743.05</v>
      </c>
      <c r="K1166">
        <v>0.1</v>
      </c>
      <c r="L1166">
        <v>3046.53</v>
      </c>
      <c r="M1166" s="1" t="s">
        <v>20</v>
      </c>
    </row>
    <row r="1167" spans="1:13" x14ac:dyDescent="0.3">
      <c r="A1167" s="1" t="s">
        <v>1969</v>
      </c>
      <c r="B1167" s="2">
        <v>45976</v>
      </c>
      <c r="C1167" s="1" t="s">
        <v>943</v>
      </c>
      <c r="D1167" s="1" t="s">
        <v>944</v>
      </c>
      <c r="E1167" s="1" t="s">
        <v>74</v>
      </c>
      <c r="F1167" s="1" t="s">
        <v>25</v>
      </c>
      <c r="G1167" s="1" t="s">
        <v>44</v>
      </c>
      <c r="H1167" s="1" t="s">
        <v>155</v>
      </c>
      <c r="I1167">
        <v>8</v>
      </c>
      <c r="J1167">
        <v>65991.960000000006</v>
      </c>
      <c r="K1167">
        <v>0</v>
      </c>
      <c r="L1167">
        <v>13220.2</v>
      </c>
      <c r="M1167" s="1" t="s">
        <v>20</v>
      </c>
    </row>
    <row r="1168" spans="1:13" x14ac:dyDescent="0.3">
      <c r="A1168" s="1" t="s">
        <v>1970</v>
      </c>
      <c r="B1168" s="2">
        <v>45712</v>
      </c>
      <c r="C1168" s="1" t="s">
        <v>1916</v>
      </c>
      <c r="D1168" s="1" t="s">
        <v>1917</v>
      </c>
      <c r="E1168" s="1" t="s">
        <v>74</v>
      </c>
      <c r="F1168" s="1" t="s">
        <v>25</v>
      </c>
      <c r="G1168" s="1" t="s">
        <v>44</v>
      </c>
      <c r="H1168" s="1" t="s">
        <v>70</v>
      </c>
      <c r="I1168">
        <v>3</v>
      </c>
      <c r="J1168">
        <v>39355.120000000003</v>
      </c>
      <c r="K1168">
        <v>0.05</v>
      </c>
      <c r="L1168">
        <v>5928.9</v>
      </c>
      <c r="M1168" s="1" t="s">
        <v>39</v>
      </c>
    </row>
    <row r="1169" spans="1:13" x14ac:dyDescent="0.3">
      <c r="A1169" s="1" t="s">
        <v>1971</v>
      </c>
      <c r="B1169" s="2">
        <v>45806</v>
      </c>
      <c r="C1169" s="1" t="s">
        <v>661</v>
      </c>
      <c r="D1169" s="1" t="s">
        <v>662</v>
      </c>
      <c r="E1169" s="1" t="s">
        <v>24</v>
      </c>
      <c r="F1169" s="1" t="s">
        <v>69</v>
      </c>
      <c r="G1169" s="1" t="s">
        <v>32</v>
      </c>
      <c r="H1169" s="1" t="s">
        <v>79</v>
      </c>
      <c r="I1169">
        <v>4</v>
      </c>
      <c r="J1169">
        <v>63840.29</v>
      </c>
      <c r="K1169">
        <v>0.15</v>
      </c>
      <c r="L1169">
        <v>14510.86</v>
      </c>
      <c r="M1169" s="1" t="s">
        <v>55</v>
      </c>
    </row>
    <row r="1170" spans="1:13" x14ac:dyDescent="0.3">
      <c r="A1170" s="1" t="s">
        <v>1972</v>
      </c>
      <c r="B1170" s="2">
        <v>45966</v>
      </c>
      <c r="C1170" s="1" t="s">
        <v>501</v>
      </c>
      <c r="D1170" s="1" t="s">
        <v>502</v>
      </c>
      <c r="E1170" s="1" t="s">
        <v>43</v>
      </c>
      <c r="F1170" s="1" t="s">
        <v>25</v>
      </c>
      <c r="G1170" s="1" t="s">
        <v>32</v>
      </c>
      <c r="H1170" s="1" t="s">
        <v>33</v>
      </c>
      <c r="I1170">
        <v>8</v>
      </c>
      <c r="J1170">
        <v>139063.57</v>
      </c>
      <c r="K1170">
        <v>0.15</v>
      </c>
      <c r="L1170">
        <v>35943.519999999997</v>
      </c>
      <c r="M1170" s="1" t="s">
        <v>55</v>
      </c>
    </row>
    <row r="1171" spans="1:13" x14ac:dyDescent="0.3">
      <c r="A1171" s="1" t="s">
        <v>1973</v>
      </c>
      <c r="B1171" s="2">
        <v>45794</v>
      </c>
      <c r="C1171" s="1" t="s">
        <v>175</v>
      </c>
      <c r="D1171" s="1" t="s">
        <v>176</v>
      </c>
      <c r="E1171" s="1" t="s">
        <v>43</v>
      </c>
      <c r="F1171" s="1" t="s">
        <v>69</v>
      </c>
      <c r="G1171" s="1" t="s">
        <v>18</v>
      </c>
      <c r="H1171" s="1" t="s">
        <v>122</v>
      </c>
      <c r="I1171">
        <v>1</v>
      </c>
      <c r="J1171">
        <v>968.7</v>
      </c>
      <c r="K1171">
        <v>0.2</v>
      </c>
      <c r="L1171">
        <v>271.69</v>
      </c>
      <c r="M1171" s="1" t="s">
        <v>20</v>
      </c>
    </row>
    <row r="1172" spans="1:13" x14ac:dyDescent="0.3">
      <c r="A1172" s="1" t="s">
        <v>1974</v>
      </c>
      <c r="B1172" s="2">
        <v>45859</v>
      </c>
      <c r="C1172" s="1" t="s">
        <v>901</v>
      </c>
      <c r="D1172" s="1" t="s">
        <v>902</v>
      </c>
      <c r="E1172" s="1" t="s">
        <v>43</v>
      </c>
      <c r="F1172" s="1" t="s">
        <v>25</v>
      </c>
      <c r="G1172" s="1" t="s">
        <v>26</v>
      </c>
      <c r="H1172" s="1" t="s">
        <v>27</v>
      </c>
      <c r="I1172">
        <v>4</v>
      </c>
      <c r="J1172">
        <v>14936.86</v>
      </c>
      <c r="K1172">
        <v>0.05</v>
      </c>
      <c r="L1172">
        <v>3363.99</v>
      </c>
      <c r="M1172" s="1" t="s">
        <v>55</v>
      </c>
    </row>
    <row r="1173" spans="1:13" x14ac:dyDescent="0.3">
      <c r="A1173" s="1" t="s">
        <v>1975</v>
      </c>
      <c r="B1173" s="2">
        <v>45970</v>
      </c>
      <c r="C1173" s="1" t="s">
        <v>580</v>
      </c>
      <c r="D1173" s="1" t="s">
        <v>581</v>
      </c>
      <c r="E1173" s="1" t="s">
        <v>43</v>
      </c>
      <c r="F1173" s="1" t="s">
        <v>17</v>
      </c>
      <c r="G1173" s="1" t="s">
        <v>18</v>
      </c>
      <c r="H1173" s="1" t="s">
        <v>97</v>
      </c>
      <c r="I1173">
        <v>1</v>
      </c>
      <c r="J1173">
        <v>2508.98</v>
      </c>
      <c r="K1173">
        <v>0.1</v>
      </c>
      <c r="L1173">
        <v>652.03</v>
      </c>
      <c r="M1173" s="1" t="s">
        <v>20</v>
      </c>
    </row>
    <row r="1174" spans="1:13" x14ac:dyDescent="0.3">
      <c r="A1174" s="1" t="s">
        <v>1976</v>
      </c>
      <c r="B1174" s="2">
        <v>45774</v>
      </c>
      <c r="C1174" s="1" t="s">
        <v>980</v>
      </c>
      <c r="D1174" s="1" t="s">
        <v>981</v>
      </c>
      <c r="E1174" s="1" t="s">
        <v>74</v>
      </c>
      <c r="F1174" s="1" t="s">
        <v>69</v>
      </c>
      <c r="G1174" s="1" t="s">
        <v>26</v>
      </c>
      <c r="H1174" s="1" t="s">
        <v>231</v>
      </c>
      <c r="I1174">
        <v>10</v>
      </c>
      <c r="J1174">
        <v>23267.17</v>
      </c>
      <c r="K1174">
        <v>0.15</v>
      </c>
      <c r="L1174">
        <v>6866.4</v>
      </c>
      <c r="M1174" s="1" t="s">
        <v>28</v>
      </c>
    </row>
    <row r="1175" spans="1:13" x14ac:dyDescent="0.3">
      <c r="A1175" s="1" t="s">
        <v>1977</v>
      </c>
      <c r="B1175" s="2">
        <v>45811</v>
      </c>
      <c r="C1175" s="1" t="s">
        <v>406</v>
      </c>
      <c r="D1175" s="1" t="s">
        <v>407</v>
      </c>
      <c r="E1175" s="1" t="s">
        <v>24</v>
      </c>
      <c r="F1175" s="1" t="s">
        <v>25</v>
      </c>
      <c r="G1175" s="1" t="s">
        <v>32</v>
      </c>
      <c r="H1175" s="1" t="s">
        <v>59</v>
      </c>
      <c r="I1175">
        <v>2</v>
      </c>
      <c r="J1175">
        <v>25696.95</v>
      </c>
      <c r="K1175">
        <v>0.05</v>
      </c>
      <c r="L1175">
        <v>4666.17</v>
      </c>
      <c r="M1175" s="1" t="s">
        <v>50</v>
      </c>
    </row>
    <row r="1176" spans="1:13" x14ac:dyDescent="0.3">
      <c r="A1176" s="1" t="s">
        <v>1978</v>
      </c>
      <c r="B1176" s="2">
        <v>45948</v>
      </c>
      <c r="C1176" s="1" t="s">
        <v>1811</v>
      </c>
      <c r="D1176" s="1" t="s">
        <v>1812</v>
      </c>
      <c r="E1176" s="1" t="s">
        <v>16</v>
      </c>
      <c r="F1176" s="1" t="s">
        <v>25</v>
      </c>
      <c r="G1176" s="1" t="s">
        <v>18</v>
      </c>
      <c r="H1176" s="1" t="s">
        <v>145</v>
      </c>
      <c r="I1176">
        <v>5</v>
      </c>
      <c r="J1176">
        <v>12130.58</v>
      </c>
      <c r="K1176">
        <v>0.1</v>
      </c>
      <c r="L1176">
        <v>2861.36</v>
      </c>
      <c r="M1176" s="1" t="s">
        <v>50</v>
      </c>
    </row>
    <row r="1177" spans="1:13" x14ac:dyDescent="0.3">
      <c r="A1177" s="1" t="s">
        <v>1979</v>
      </c>
      <c r="B1177" s="2">
        <v>45720</v>
      </c>
      <c r="C1177" s="1" t="s">
        <v>540</v>
      </c>
      <c r="D1177" s="1" t="s">
        <v>541</v>
      </c>
      <c r="E1177" s="1" t="s">
        <v>74</v>
      </c>
      <c r="F1177" s="1" t="s">
        <v>25</v>
      </c>
      <c r="G1177" s="1" t="s">
        <v>18</v>
      </c>
      <c r="H1177" s="1" t="s">
        <v>122</v>
      </c>
      <c r="I1177">
        <v>8</v>
      </c>
      <c r="J1177">
        <v>20219.16</v>
      </c>
      <c r="K1177">
        <v>0.05</v>
      </c>
      <c r="L1177">
        <v>5327.46</v>
      </c>
      <c r="M1177" s="1" t="s">
        <v>55</v>
      </c>
    </row>
    <row r="1178" spans="1:13" x14ac:dyDescent="0.3">
      <c r="A1178" s="1" t="s">
        <v>1980</v>
      </c>
      <c r="B1178" s="2">
        <v>45901</v>
      </c>
      <c r="C1178" s="1" t="s">
        <v>545</v>
      </c>
      <c r="D1178" s="1" t="s">
        <v>546</v>
      </c>
      <c r="E1178" s="1" t="s">
        <v>16</v>
      </c>
      <c r="F1178" s="1" t="s">
        <v>25</v>
      </c>
      <c r="G1178" s="1" t="s">
        <v>26</v>
      </c>
      <c r="H1178" s="1" t="s">
        <v>231</v>
      </c>
      <c r="I1178">
        <v>3</v>
      </c>
      <c r="J1178">
        <v>10036.89</v>
      </c>
      <c r="K1178">
        <v>0</v>
      </c>
      <c r="L1178">
        <v>2354.23</v>
      </c>
      <c r="M1178" s="1" t="s">
        <v>28</v>
      </c>
    </row>
    <row r="1179" spans="1:13" x14ac:dyDescent="0.3">
      <c r="A1179" s="1" t="s">
        <v>1981</v>
      </c>
      <c r="B1179" s="2">
        <v>45682</v>
      </c>
      <c r="C1179" s="1" t="s">
        <v>1421</v>
      </c>
      <c r="D1179" s="1" t="s">
        <v>1422</v>
      </c>
      <c r="E1179" s="1" t="s">
        <v>24</v>
      </c>
      <c r="F1179" s="1" t="s">
        <v>17</v>
      </c>
      <c r="G1179" s="1" t="s">
        <v>44</v>
      </c>
      <c r="H1179" s="1" t="s">
        <v>75</v>
      </c>
      <c r="I1179">
        <v>2</v>
      </c>
      <c r="J1179">
        <v>14189.42</v>
      </c>
      <c r="K1179">
        <v>0</v>
      </c>
      <c r="L1179">
        <v>2606.46</v>
      </c>
      <c r="M1179" s="1" t="s">
        <v>50</v>
      </c>
    </row>
    <row r="1180" spans="1:13" x14ac:dyDescent="0.3">
      <c r="A1180" s="1" t="s">
        <v>1982</v>
      </c>
      <c r="B1180" s="2">
        <v>45747</v>
      </c>
      <c r="C1180" s="1" t="s">
        <v>1182</v>
      </c>
      <c r="D1180" s="1" t="s">
        <v>1183</v>
      </c>
      <c r="E1180" s="1" t="s">
        <v>43</v>
      </c>
      <c r="F1180" s="1" t="s">
        <v>69</v>
      </c>
      <c r="G1180" s="1" t="s">
        <v>18</v>
      </c>
      <c r="H1180" s="1" t="s">
        <v>145</v>
      </c>
      <c r="I1180">
        <v>2</v>
      </c>
      <c r="J1180">
        <v>3269.96</v>
      </c>
      <c r="K1180">
        <v>0.15</v>
      </c>
      <c r="L1180">
        <v>805.82</v>
      </c>
      <c r="M1180" s="1" t="s">
        <v>20</v>
      </c>
    </row>
    <row r="1181" spans="1:13" x14ac:dyDescent="0.3">
      <c r="A1181" s="1" t="s">
        <v>1983</v>
      </c>
      <c r="B1181" s="2">
        <v>45732</v>
      </c>
      <c r="C1181" s="1" t="s">
        <v>1287</v>
      </c>
      <c r="D1181" s="1" t="s">
        <v>1288</v>
      </c>
      <c r="E1181" s="1" t="s">
        <v>74</v>
      </c>
      <c r="F1181" s="1" t="s">
        <v>69</v>
      </c>
      <c r="G1181" s="1" t="s">
        <v>44</v>
      </c>
      <c r="H1181" s="1" t="s">
        <v>75</v>
      </c>
      <c r="I1181">
        <v>5</v>
      </c>
      <c r="J1181">
        <v>55400.12</v>
      </c>
      <c r="K1181">
        <v>0.15</v>
      </c>
      <c r="L1181">
        <v>8667.19</v>
      </c>
      <c r="M1181" s="1" t="s">
        <v>28</v>
      </c>
    </row>
    <row r="1182" spans="1:13" x14ac:dyDescent="0.3">
      <c r="A1182" s="1" t="s">
        <v>1984</v>
      </c>
      <c r="B1182" s="2">
        <v>45951</v>
      </c>
      <c r="C1182" s="1" t="s">
        <v>282</v>
      </c>
      <c r="D1182" s="1" t="s">
        <v>283</v>
      </c>
      <c r="E1182" s="1" t="s">
        <v>74</v>
      </c>
      <c r="F1182" s="1" t="s">
        <v>25</v>
      </c>
      <c r="G1182" s="1" t="s">
        <v>18</v>
      </c>
      <c r="H1182" s="1" t="s">
        <v>145</v>
      </c>
      <c r="I1182">
        <v>3</v>
      </c>
      <c r="J1182">
        <v>5776.88</v>
      </c>
      <c r="K1182">
        <v>0.15</v>
      </c>
      <c r="L1182">
        <v>1700.94</v>
      </c>
      <c r="M1182" s="1" t="s">
        <v>50</v>
      </c>
    </row>
    <row r="1183" spans="1:13" x14ac:dyDescent="0.3">
      <c r="A1183" s="1" t="s">
        <v>1985</v>
      </c>
      <c r="B1183" s="2">
        <v>45867</v>
      </c>
      <c r="C1183" s="1" t="s">
        <v>932</v>
      </c>
      <c r="D1183" s="1" t="s">
        <v>933</v>
      </c>
      <c r="E1183" s="1" t="s">
        <v>37</v>
      </c>
      <c r="F1183" s="1" t="s">
        <v>69</v>
      </c>
      <c r="G1183" s="1" t="s">
        <v>32</v>
      </c>
      <c r="H1183" s="1" t="s">
        <v>54</v>
      </c>
      <c r="I1183">
        <v>4</v>
      </c>
      <c r="J1183">
        <v>72567.56</v>
      </c>
      <c r="K1183">
        <v>0.05</v>
      </c>
      <c r="L1183">
        <v>12377.08</v>
      </c>
      <c r="M1183" s="1" t="s">
        <v>28</v>
      </c>
    </row>
    <row r="1184" spans="1:13" x14ac:dyDescent="0.3">
      <c r="A1184" s="1" t="s">
        <v>1986</v>
      </c>
      <c r="B1184" s="2">
        <v>46004</v>
      </c>
      <c r="C1184" s="1" t="s">
        <v>416</v>
      </c>
      <c r="D1184" s="1" t="s">
        <v>417</v>
      </c>
      <c r="E1184" s="1" t="s">
        <v>16</v>
      </c>
      <c r="F1184" s="1" t="s">
        <v>25</v>
      </c>
      <c r="G1184" s="1" t="s">
        <v>32</v>
      </c>
      <c r="H1184" s="1" t="s">
        <v>33</v>
      </c>
      <c r="I1184">
        <v>5</v>
      </c>
      <c r="J1184">
        <v>48233.37</v>
      </c>
      <c r="K1184">
        <v>0.1</v>
      </c>
      <c r="L1184">
        <v>10649.42</v>
      </c>
      <c r="M1184" s="1" t="s">
        <v>20</v>
      </c>
    </row>
    <row r="1185" spans="1:13" x14ac:dyDescent="0.3">
      <c r="A1185" s="1" t="s">
        <v>1987</v>
      </c>
      <c r="B1185" s="2">
        <v>45674</v>
      </c>
      <c r="C1185" s="1" t="s">
        <v>1096</v>
      </c>
      <c r="D1185" s="1" t="s">
        <v>1097</v>
      </c>
      <c r="E1185" s="1" t="s">
        <v>37</v>
      </c>
      <c r="F1185" s="1" t="s">
        <v>25</v>
      </c>
      <c r="G1185" s="1" t="s">
        <v>26</v>
      </c>
      <c r="H1185" s="1" t="s">
        <v>27</v>
      </c>
      <c r="I1185">
        <v>3</v>
      </c>
      <c r="J1185">
        <v>10276.629999999999</v>
      </c>
      <c r="K1185">
        <v>0.1</v>
      </c>
      <c r="L1185">
        <v>2735.82</v>
      </c>
      <c r="M1185" s="1" t="s">
        <v>50</v>
      </c>
    </row>
    <row r="1186" spans="1:13" x14ac:dyDescent="0.3">
      <c r="A1186" s="1" t="s">
        <v>1988</v>
      </c>
      <c r="B1186" s="2">
        <v>45785</v>
      </c>
      <c r="C1186" s="1" t="s">
        <v>303</v>
      </c>
      <c r="D1186" s="1" t="s">
        <v>304</v>
      </c>
      <c r="E1186" s="1" t="s">
        <v>43</v>
      </c>
      <c r="F1186" s="1" t="s">
        <v>25</v>
      </c>
      <c r="G1186" s="1" t="s">
        <v>26</v>
      </c>
      <c r="H1186" s="1" t="s">
        <v>86</v>
      </c>
      <c r="I1186">
        <v>2</v>
      </c>
      <c r="J1186">
        <v>3701.86</v>
      </c>
      <c r="K1186">
        <v>0.25</v>
      </c>
      <c r="L1186">
        <v>853.65</v>
      </c>
      <c r="M1186" s="1" t="s">
        <v>28</v>
      </c>
    </row>
    <row r="1187" spans="1:13" x14ac:dyDescent="0.3">
      <c r="A1187" s="1" t="s">
        <v>1989</v>
      </c>
      <c r="B1187" s="2">
        <v>46021</v>
      </c>
      <c r="C1187" s="1" t="s">
        <v>823</v>
      </c>
      <c r="D1187" s="1" t="s">
        <v>824</v>
      </c>
      <c r="E1187" s="1" t="s">
        <v>74</v>
      </c>
      <c r="F1187" s="1" t="s">
        <v>69</v>
      </c>
      <c r="G1187" s="1" t="s">
        <v>18</v>
      </c>
      <c r="H1187" s="1" t="s">
        <v>97</v>
      </c>
      <c r="I1187">
        <v>9</v>
      </c>
      <c r="J1187">
        <v>21003.3</v>
      </c>
      <c r="K1187">
        <v>0.15</v>
      </c>
      <c r="L1187">
        <v>6326.6</v>
      </c>
      <c r="M1187" s="1" t="s">
        <v>28</v>
      </c>
    </row>
    <row r="1188" spans="1:13" x14ac:dyDescent="0.3">
      <c r="A1188" s="1" t="s">
        <v>1990</v>
      </c>
      <c r="B1188" s="2">
        <v>45908</v>
      </c>
      <c r="C1188" s="1" t="s">
        <v>1255</v>
      </c>
      <c r="D1188" s="1" t="s">
        <v>1256</v>
      </c>
      <c r="E1188" s="1" t="s">
        <v>16</v>
      </c>
      <c r="F1188" s="1" t="s">
        <v>25</v>
      </c>
      <c r="G1188" s="1" t="s">
        <v>44</v>
      </c>
      <c r="H1188" s="1" t="s">
        <v>75</v>
      </c>
      <c r="I1188">
        <v>9</v>
      </c>
      <c r="J1188">
        <v>116982.13</v>
      </c>
      <c r="K1188">
        <v>0</v>
      </c>
      <c r="L1188">
        <v>26812.27</v>
      </c>
      <c r="M1188" s="1" t="s">
        <v>28</v>
      </c>
    </row>
    <row r="1189" spans="1:13" x14ac:dyDescent="0.3">
      <c r="A1189" s="1" t="s">
        <v>1991</v>
      </c>
      <c r="B1189" s="2">
        <v>45836</v>
      </c>
      <c r="C1189" s="1" t="s">
        <v>1612</v>
      </c>
      <c r="D1189" s="1" t="s">
        <v>1613</v>
      </c>
      <c r="E1189" s="1" t="s">
        <v>43</v>
      </c>
      <c r="F1189" s="1" t="s">
        <v>25</v>
      </c>
      <c r="G1189" s="1" t="s">
        <v>18</v>
      </c>
      <c r="H1189" s="1" t="s">
        <v>122</v>
      </c>
      <c r="I1189">
        <v>10</v>
      </c>
      <c r="J1189">
        <v>23672.23</v>
      </c>
      <c r="K1189">
        <v>0.15</v>
      </c>
      <c r="L1189">
        <v>6132.44</v>
      </c>
      <c r="M1189" s="1" t="s">
        <v>28</v>
      </c>
    </row>
    <row r="1190" spans="1:13" x14ac:dyDescent="0.3">
      <c r="A1190" s="1" t="s">
        <v>1992</v>
      </c>
      <c r="B1190" s="2">
        <v>45839</v>
      </c>
      <c r="C1190" s="1" t="s">
        <v>883</v>
      </c>
      <c r="D1190" s="1" t="s">
        <v>884</v>
      </c>
      <c r="E1190" s="1" t="s">
        <v>74</v>
      </c>
      <c r="F1190" s="1" t="s">
        <v>69</v>
      </c>
      <c r="G1190" s="1" t="s">
        <v>44</v>
      </c>
      <c r="H1190" s="1" t="s">
        <v>45</v>
      </c>
      <c r="I1190">
        <v>3</v>
      </c>
      <c r="J1190">
        <v>17209.060000000001</v>
      </c>
      <c r="K1190">
        <v>0.15</v>
      </c>
      <c r="L1190">
        <v>3445.77</v>
      </c>
      <c r="M1190" s="1" t="s">
        <v>39</v>
      </c>
    </row>
    <row r="1191" spans="1:13" x14ac:dyDescent="0.3">
      <c r="A1191" s="1" t="s">
        <v>1993</v>
      </c>
      <c r="B1191" s="2">
        <v>45809</v>
      </c>
      <c r="C1191" s="1" t="s">
        <v>1287</v>
      </c>
      <c r="D1191" s="1" t="s">
        <v>1288</v>
      </c>
      <c r="E1191" s="1" t="s">
        <v>43</v>
      </c>
      <c r="F1191" s="1" t="s">
        <v>25</v>
      </c>
      <c r="G1191" s="1" t="s">
        <v>18</v>
      </c>
      <c r="H1191" s="1" t="s">
        <v>122</v>
      </c>
      <c r="I1191">
        <v>8</v>
      </c>
      <c r="J1191">
        <v>10928.71</v>
      </c>
      <c r="K1191">
        <v>0.15</v>
      </c>
      <c r="L1191">
        <v>3137.04</v>
      </c>
      <c r="M1191" s="1" t="s">
        <v>28</v>
      </c>
    </row>
    <row r="1192" spans="1:13" x14ac:dyDescent="0.3">
      <c r="A1192" s="1" t="s">
        <v>1994</v>
      </c>
      <c r="B1192" s="2">
        <v>45682</v>
      </c>
      <c r="C1192" s="1" t="s">
        <v>355</v>
      </c>
      <c r="D1192" s="1" t="s">
        <v>356</v>
      </c>
      <c r="E1192" s="1" t="s">
        <v>74</v>
      </c>
      <c r="F1192" s="1" t="s">
        <v>17</v>
      </c>
      <c r="G1192" s="1" t="s">
        <v>18</v>
      </c>
      <c r="H1192" s="1" t="s">
        <v>19</v>
      </c>
      <c r="I1192">
        <v>5</v>
      </c>
      <c r="J1192">
        <v>5819.34</v>
      </c>
      <c r="K1192">
        <v>0.05</v>
      </c>
      <c r="L1192">
        <v>1480.06</v>
      </c>
      <c r="M1192" s="1" t="s">
        <v>20</v>
      </c>
    </row>
    <row r="1193" spans="1:13" x14ac:dyDescent="0.3">
      <c r="A1193" s="1" t="s">
        <v>1995</v>
      </c>
      <c r="B1193" s="2">
        <v>45837</v>
      </c>
      <c r="C1193" s="1" t="s">
        <v>976</v>
      </c>
      <c r="D1193" s="1" t="s">
        <v>977</v>
      </c>
      <c r="E1193" s="1" t="s">
        <v>43</v>
      </c>
      <c r="F1193" s="1" t="s">
        <v>17</v>
      </c>
      <c r="G1193" s="1" t="s">
        <v>32</v>
      </c>
      <c r="H1193" s="1" t="s">
        <v>79</v>
      </c>
      <c r="I1193">
        <v>7</v>
      </c>
      <c r="J1193">
        <v>101112.73</v>
      </c>
      <c r="K1193">
        <v>0.2</v>
      </c>
      <c r="L1193">
        <v>23600.02</v>
      </c>
      <c r="M1193" s="1" t="s">
        <v>20</v>
      </c>
    </row>
    <row r="1194" spans="1:13" x14ac:dyDescent="0.3">
      <c r="A1194" s="1" t="s">
        <v>1996</v>
      </c>
      <c r="B1194" s="2">
        <v>45855</v>
      </c>
      <c r="C1194" s="1" t="s">
        <v>479</v>
      </c>
      <c r="D1194" s="1" t="s">
        <v>480</v>
      </c>
      <c r="E1194" s="1" t="s">
        <v>24</v>
      </c>
      <c r="F1194" s="1" t="s">
        <v>17</v>
      </c>
      <c r="G1194" s="1" t="s">
        <v>32</v>
      </c>
      <c r="H1194" s="1" t="s">
        <v>79</v>
      </c>
      <c r="I1194">
        <v>8</v>
      </c>
      <c r="J1194">
        <v>131718.67000000001</v>
      </c>
      <c r="K1194">
        <v>0</v>
      </c>
      <c r="L1194">
        <v>35167.449999999997</v>
      </c>
      <c r="M1194" s="1" t="s">
        <v>39</v>
      </c>
    </row>
    <row r="1195" spans="1:13" x14ac:dyDescent="0.3">
      <c r="A1195" s="1" t="s">
        <v>1997</v>
      </c>
      <c r="B1195" s="2">
        <v>46001</v>
      </c>
      <c r="C1195" s="1" t="s">
        <v>1082</v>
      </c>
      <c r="D1195" s="1" t="s">
        <v>1083</v>
      </c>
      <c r="E1195" s="1" t="s">
        <v>43</v>
      </c>
      <c r="F1195" s="1" t="s">
        <v>17</v>
      </c>
      <c r="G1195" s="1" t="s">
        <v>26</v>
      </c>
      <c r="H1195" s="1" t="s">
        <v>244</v>
      </c>
      <c r="I1195">
        <v>8</v>
      </c>
      <c r="J1195">
        <v>24928.63</v>
      </c>
      <c r="K1195">
        <v>0.1</v>
      </c>
      <c r="L1195">
        <v>6960.61</v>
      </c>
      <c r="M1195" s="1" t="s">
        <v>20</v>
      </c>
    </row>
    <row r="1196" spans="1:13" x14ac:dyDescent="0.3">
      <c r="A1196" s="1" t="s">
        <v>1998</v>
      </c>
      <c r="B1196" s="2">
        <v>45818</v>
      </c>
      <c r="C1196" s="1" t="s">
        <v>111</v>
      </c>
      <c r="D1196" s="1" t="s">
        <v>112</v>
      </c>
      <c r="E1196" s="1" t="s">
        <v>24</v>
      </c>
      <c r="F1196" s="1" t="s">
        <v>25</v>
      </c>
      <c r="G1196" s="1" t="s">
        <v>26</v>
      </c>
      <c r="H1196" s="1" t="s">
        <v>49</v>
      </c>
      <c r="I1196">
        <v>8</v>
      </c>
      <c r="J1196">
        <v>17412.98</v>
      </c>
      <c r="K1196">
        <v>0</v>
      </c>
      <c r="L1196">
        <v>3518.89</v>
      </c>
      <c r="M1196" s="1" t="s">
        <v>50</v>
      </c>
    </row>
    <row r="1197" spans="1:13" x14ac:dyDescent="0.3">
      <c r="A1197" s="1" t="s">
        <v>1999</v>
      </c>
      <c r="B1197" s="2">
        <v>45834</v>
      </c>
      <c r="C1197" s="1" t="s">
        <v>1367</v>
      </c>
      <c r="D1197" s="1" t="s">
        <v>1368</v>
      </c>
      <c r="E1197" s="1" t="s">
        <v>74</v>
      </c>
      <c r="F1197" s="1" t="s">
        <v>25</v>
      </c>
      <c r="G1197" s="1" t="s">
        <v>44</v>
      </c>
      <c r="H1197" s="1" t="s">
        <v>75</v>
      </c>
      <c r="I1197">
        <v>10</v>
      </c>
      <c r="J1197">
        <v>89256.29</v>
      </c>
      <c r="K1197">
        <v>0.2</v>
      </c>
      <c r="L1197">
        <v>19964.62</v>
      </c>
      <c r="M1197" s="1" t="s">
        <v>20</v>
      </c>
    </row>
    <row r="1198" spans="1:13" x14ac:dyDescent="0.3">
      <c r="A1198" s="1" t="s">
        <v>2000</v>
      </c>
      <c r="B1198" s="2">
        <v>45942</v>
      </c>
      <c r="C1198" s="1" t="s">
        <v>665</v>
      </c>
      <c r="D1198" s="1" t="s">
        <v>666</v>
      </c>
      <c r="E1198" s="1" t="s">
        <v>24</v>
      </c>
      <c r="F1198" s="1" t="s">
        <v>25</v>
      </c>
      <c r="G1198" s="1" t="s">
        <v>18</v>
      </c>
      <c r="H1198" s="1" t="s">
        <v>141</v>
      </c>
      <c r="I1198">
        <v>4</v>
      </c>
      <c r="J1198">
        <v>5182.01</v>
      </c>
      <c r="K1198">
        <v>0</v>
      </c>
      <c r="L1198">
        <v>1564.05</v>
      </c>
      <c r="M1198" s="1" t="s">
        <v>28</v>
      </c>
    </row>
    <row r="1199" spans="1:13" x14ac:dyDescent="0.3">
      <c r="A1199" s="1" t="s">
        <v>2001</v>
      </c>
      <c r="B1199" s="2">
        <v>45720</v>
      </c>
      <c r="C1199" s="1" t="s">
        <v>1774</v>
      </c>
      <c r="D1199" s="1" t="s">
        <v>1775</v>
      </c>
      <c r="E1199" s="1" t="s">
        <v>43</v>
      </c>
      <c r="F1199" s="1" t="s">
        <v>69</v>
      </c>
      <c r="G1199" s="1" t="s">
        <v>32</v>
      </c>
      <c r="H1199" s="1" t="s">
        <v>38</v>
      </c>
      <c r="I1199">
        <v>5</v>
      </c>
      <c r="J1199">
        <v>56702.45</v>
      </c>
      <c r="K1199">
        <v>0.1</v>
      </c>
      <c r="L1199">
        <v>10004.15</v>
      </c>
      <c r="M1199" s="1" t="s">
        <v>20</v>
      </c>
    </row>
    <row r="1200" spans="1:13" x14ac:dyDescent="0.3">
      <c r="A1200" s="1" t="s">
        <v>2002</v>
      </c>
      <c r="B1200" s="2">
        <v>45807</v>
      </c>
      <c r="C1200" s="1" t="s">
        <v>1282</v>
      </c>
      <c r="D1200" s="1" t="s">
        <v>1283</v>
      </c>
      <c r="E1200" s="1" t="s">
        <v>37</v>
      </c>
      <c r="F1200" s="1" t="s">
        <v>25</v>
      </c>
      <c r="G1200" s="1" t="s">
        <v>32</v>
      </c>
      <c r="H1200" s="1" t="s">
        <v>59</v>
      </c>
      <c r="I1200">
        <v>7</v>
      </c>
      <c r="J1200">
        <v>65818.58</v>
      </c>
      <c r="K1200">
        <v>0</v>
      </c>
      <c r="L1200">
        <v>17605.63</v>
      </c>
      <c r="M1200" s="1" t="s">
        <v>50</v>
      </c>
    </row>
    <row r="1201" spans="1:13" x14ac:dyDescent="0.3">
      <c r="A1201" s="1" t="s">
        <v>2003</v>
      </c>
      <c r="B1201" s="2">
        <v>45811</v>
      </c>
      <c r="C1201" s="1" t="s">
        <v>863</v>
      </c>
      <c r="D1201" s="1" t="s">
        <v>864</v>
      </c>
      <c r="E1201" s="1" t="s">
        <v>74</v>
      </c>
      <c r="F1201" s="1" t="s">
        <v>69</v>
      </c>
      <c r="G1201" s="1" t="s">
        <v>18</v>
      </c>
      <c r="H1201" s="1" t="s">
        <v>19</v>
      </c>
      <c r="I1201">
        <v>8</v>
      </c>
      <c r="J1201">
        <v>6463.04</v>
      </c>
      <c r="K1201">
        <v>0.2</v>
      </c>
      <c r="L1201">
        <v>1876.42</v>
      </c>
      <c r="M1201" s="1" t="s">
        <v>28</v>
      </c>
    </row>
    <row r="1202" spans="1:13" x14ac:dyDescent="0.3">
      <c r="A1202" s="1" t="s">
        <v>2004</v>
      </c>
      <c r="B1202" s="2">
        <v>45813</v>
      </c>
      <c r="C1202" s="1" t="s">
        <v>583</v>
      </c>
      <c r="D1202" s="1" t="s">
        <v>584</v>
      </c>
      <c r="E1202" s="1" t="s">
        <v>37</v>
      </c>
      <c r="F1202" s="1" t="s">
        <v>17</v>
      </c>
      <c r="G1202" s="1" t="s">
        <v>26</v>
      </c>
      <c r="H1202" s="1" t="s">
        <v>27</v>
      </c>
      <c r="I1202">
        <v>5</v>
      </c>
      <c r="J1202">
        <v>23526.32</v>
      </c>
      <c r="K1202">
        <v>0.05</v>
      </c>
      <c r="L1202">
        <v>6686.77</v>
      </c>
      <c r="M1202" s="1" t="s">
        <v>20</v>
      </c>
    </row>
    <row r="1203" spans="1:13" x14ac:dyDescent="0.3">
      <c r="A1203" s="1" t="s">
        <v>2005</v>
      </c>
      <c r="B1203" s="2">
        <v>45706</v>
      </c>
      <c r="C1203" s="1" t="s">
        <v>338</v>
      </c>
      <c r="D1203" s="1" t="s">
        <v>339</v>
      </c>
      <c r="E1203" s="1" t="s">
        <v>74</v>
      </c>
      <c r="F1203" s="1" t="s">
        <v>25</v>
      </c>
      <c r="G1203" s="1" t="s">
        <v>32</v>
      </c>
      <c r="H1203" s="1" t="s">
        <v>33</v>
      </c>
      <c r="I1203">
        <v>10</v>
      </c>
      <c r="J1203">
        <v>126055.57</v>
      </c>
      <c r="K1203">
        <v>0.1</v>
      </c>
      <c r="L1203">
        <v>32228.03</v>
      </c>
      <c r="M1203" s="1" t="s">
        <v>50</v>
      </c>
    </row>
    <row r="1204" spans="1:13" x14ac:dyDescent="0.3">
      <c r="A1204" s="1" t="s">
        <v>2006</v>
      </c>
      <c r="B1204" s="2">
        <v>45994</v>
      </c>
      <c r="C1204" s="1" t="s">
        <v>665</v>
      </c>
      <c r="D1204" s="1" t="s">
        <v>666</v>
      </c>
      <c r="E1204" s="1" t="s">
        <v>74</v>
      </c>
      <c r="F1204" s="1" t="s">
        <v>69</v>
      </c>
      <c r="G1204" s="1" t="s">
        <v>18</v>
      </c>
      <c r="H1204" s="1" t="s">
        <v>141</v>
      </c>
      <c r="I1204">
        <v>5</v>
      </c>
      <c r="J1204">
        <v>10872</v>
      </c>
      <c r="K1204">
        <v>0.1</v>
      </c>
      <c r="L1204">
        <v>2602.14</v>
      </c>
      <c r="M1204" s="1" t="s">
        <v>55</v>
      </c>
    </row>
    <row r="1205" spans="1:13" x14ac:dyDescent="0.3">
      <c r="A1205" s="1" t="s">
        <v>2007</v>
      </c>
      <c r="B1205" s="2">
        <v>45741</v>
      </c>
      <c r="C1205" s="1" t="s">
        <v>466</v>
      </c>
      <c r="D1205" s="1" t="s">
        <v>467</v>
      </c>
      <c r="E1205" s="1" t="s">
        <v>16</v>
      </c>
      <c r="F1205" s="1" t="s">
        <v>17</v>
      </c>
      <c r="G1205" s="1" t="s">
        <v>32</v>
      </c>
      <c r="H1205" s="1" t="s">
        <v>54</v>
      </c>
      <c r="I1205">
        <v>4</v>
      </c>
      <c r="J1205">
        <v>69363.39</v>
      </c>
      <c r="K1205">
        <v>0.1</v>
      </c>
      <c r="L1205">
        <v>13681.56</v>
      </c>
      <c r="M1205" s="1" t="s">
        <v>55</v>
      </c>
    </row>
    <row r="1206" spans="1:13" x14ac:dyDescent="0.3">
      <c r="A1206" s="1" t="s">
        <v>2008</v>
      </c>
      <c r="B1206" s="2">
        <v>46018</v>
      </c>
      <c r="C1206" s="1" t="s">
        <v>780</v>
      </c>
      <c r="D1206" s="1" t="s">
        <v>781</v>
      </c>
      <c r="E1206" s="1" t="s">
        <v>37</v>
      </c>
      <c r="F1206" s="1" t="s">
        <v>25</v>
      </c>
      <c r="G1206" s="1" t="s">
        <v>44</v>
      </c>
      <c r="H1206" s="1" t="s">
        <v>155</v>
      </c>
      <c r="I1206">
        <v>5</v>
      </c>
      <c r="J1206">
        <v>52524.58</v>
      </c>
      <c r="K1206">
        <v>0.2</v>
      </c>
      <c r="L1206">
        <v>10391.799999999999</v>
      </c>
      <c r="M1206" s="1" t="s">
        <v>39</v>
      </c>
    </row>
    <row r="1207" spans="1:13" x14ac:dyDescent="0.3">
      <c r="A1207" s="1" t="s">
        <v>2009</v>
      </c>
      <c r="B1207" s="2">
        <v>45834</v>
      </c>
      <c r="C1207" s="1" t="s">
        <v>1934</v>
      </c>
      <c r="D1207" s="1" t="s">
        <v>1935</v>
      </c>
      <c r="E1207" s="1" t="s">
        <v>37</v>
      </c>
      <c r="F1207" s="1" t="s">
        <v>25</v>
      </c>
      <c r="G1207" s="1" t="s">
        <v>18</v>
      </c>
      <c r="H1207" s="1" t="s">
        <v>97</v>
      </c>
      <c r="I1207">
        <v>7</v>
      </c>
      <c r="J1207">
        <v>11482.29</v>
      </c>
      <c r="K1207">
        <v>0.2</v>
      </c>
      <c r="L1207">
        <v>3551.56</v>
      </c>
      <c r="M1207" s="1" t="s">
        <v>55</v>
      </c>
    </row>
    <row r="1208" spans="1:13" x14ac:dyDescent="0.3">
      <c r="A1208" s="1" t="s">
        <v>2010</v>
      </c>
      <c r="B1208" s="2">
        <v>45805</v>
      </c>
      <c r="C1208" s="1" t="s">
        <v>1374</v>
      </c>
      <c r="D1208" s="1" t="s">
        <v>1375</v>
      </c>
      <c r="E1208" s="1" t="s">
        <v>24</v>
      </c>
      <c r="F1208" s="1" t="s">
        <v>69</v>
      </c>
      <c r="G1208" s="1" t="s">
        <v>18</v>
      </c>
      <c r="H1208" s="1" t="s">
        <v>141</v>
      </c>
      <c r="I1208">
        <v>2</v>
      </c>
      <c r="J1208">
        <v>2821.28</v>
      </c>
      <c r="K1208">
        <v>0.1</v>
      </c>
      <c r="L1208">
        <v>824.54</v>
      </c>
      <c r="M1208" s="1" t="s">
        <v>28</v>
      </c>
    </row>
    <row r="1209" spans="1:13" x14ac:dyDescent="0.3">
      <c r="A1209" s="1" t="s">
        <v>2011</v>
      </c>
      <c r="B1209" s="2">
        <v>45775</v>
      </c>
      <c r="C1209" s="1" t="s">
        <v>389</v>
      </c>
      <c r="D1209" s="1" t="s">
        <v>390</v>
      </c>
      <c r="E1209" s="1" t="s">
        <v>74</v>
      </c>
      <c r="F1209" s="1" t="s">
        <v>69</v>
      </c>
      <c r="G1209" s="1" t="s">
        <v>26</v>
      </c>
      <c r="H1209" s="1" t="s">
        <v>49</v>
      </c>
      <c r="I1209">
        <v>9</v>
      </c>
      <c r="J1209">
        <v>33202.92</v>
      </c>
      <c r="K1209">
        <v>0.05</v>
      </c>
      <c r="L1209">
        <v>6983.55</v>
      </c>
      <c r="M1209" s="1" t="s">
        <v>50</v>
      </c>
    </row>
    <row r="1210" spans="1:13" x14ac:dyDescent="0.3">
      <c r="A1210" s="1" t="s">
        <v>2012</v>
      </c>
      <c r="B1210" s="2">
        <v>45999</v>
      </c>
      <c r="C1210" s="1" t="s">
        <v>1509</v>
      </c>
      <c r="D1210" s="1" t="s">
        <v>1510</v>
      </c>
      <c r="E1210" s="1" t="s">
        <v>16</v>
      </c>
      <c r="F1210" s="1" t="s">
        <v>25</v>
      </c>
      <c r="G1210" s="1" t="s">
        <v>18</v>
      </c>
      <c r="H1210" s="1" t="s">
        <v>145</v>
      </c>
      <c r="I1210">
        <v>4</v>
      </c>
      <c r="J1210">
        <v>3574.67</v>
      </c>
      <c r="K1210">
        <v>0.15</v>
      </c>
      <c r="L1210">
        <v>1121.6400000000001</v>
      </c>
      <c r="M1210" s="1" t="s">
        <v>50</v>
      </c>
    </row>
    <row r="1211" spans="1:13" x14ac:dyDescent="0.3">
      <c r="A1211" s="1" t="s">
        <v>2013</v>
      </c>
      <c r="B1211" s="2">
        <v>45720</v>
      </c>
      <c r="C1211" s="1" t="s">
        <v>682</v>
      </c>
      <c r="D1211" s="1" t="s">
        <v>683</v>
      </c>
      <c r="E1211" s="1" t="s">
        <v>16</v>
      </c>
      <c r="F1211" s="1" t="s">
        <v>25</v>
      </c>
      <c r="G1211" s="1" t="s">
        <v>18</v>
      </c>
      <c r="H1211" s="1" t="s">
        <v>97</v>
      </c>
      <c r="I1211">
        <v>6</v>
      </c>
      <c r="J1211">
        <v>13240.67</v>
      </c>
      <c r="K1211">
        <v>0.15</v>
      </c>
      <c r="L1211">
        <v>3998.67</v>
      </c>
      <c r="M1211" s="1" t="s">
        <v>28</v>
      </c>
    </row>
    <row r="1212" spans="1:13" x14ac:dyDescent="0.3">
      <c r="A1212" s="1" t="s">
        <v>2014</v>
      </c>
      <c r="B1212" s="2">
        <v>45846</v>
      </c>
      <c r="C1212" s="1" t="s">
        <v>205</v>
      </c>
      <c r="D1212" s="1" t="s">
        <v>206</v>
      </c>
      <c r="E1212" s="1" t="s">
        <v>16</v>
      </c>
      <c r="F1212" s="1" t="s">
        <v>17</v>
      </c>
      <c r="G1212" s="1" t="s">
        <v>32</v>
      </c>
      <c r="H1212" s="1" t="s">
        <v>33</v>
      </c>
      <c r="I1212">
        <v>5</v>
      </c>
      <c r="J1212">
        <v>93910.26</v>
      </c>
      <c r="K1212">
        <v>0</v>
      </c>
      <c r="L1212">
        <v>24676.26</v>
      </c>
      <c r="M1212" s="1" t="s">
        <v>20</v>
      </c>
    </row>
    <row r="1213" spans="1:13" x14ac:dyDescent="0.3">
      <c r="A1213" s="1" t="s">
        <v>2015</v>
      </c>
      <c r="B1213" s="2">
        <v>46017</v>
      </c>
      <c r="C1213" s="1" t="s">
        <v>964</v>
      </c>
      <c r="D1213" s="1" t="s">
        <v>965</v>
      </c>
      <c r="E1213" s="1" t="s">
        <v>37</v>
      </c>
      <c r="F1213" s="1" t="s">
        <v>69</v>
      </c>
      <c r="G1213" s="1" t="s">
        <v>32</v>
      </c>
      <c r="H1213" s="1" t="s">
        <v>33</v>
      </c>
      <c r="I1213">
        <v>10</v>
      </c>
      <c r="J1213">
        <v>184664.59</v>
      </c>
      <c r="K1213">
        <v>0.1</v>
      </c>
      <c r="L1213">
        <v>44419.85</v>
      </c>
      <c r="M1213" s="1" t="s">
        <v>50</v>
      </c>
    </row>
    <row r="1214" spans="1:13" x14ac:dyDescent="0.3">
      <c r="A1214" s="1" t="s">
        <v>2016</v>
      </c>
      <c r="B1214" s="2">
        <v>45706</v>
      </c>
      <c r="C1214" s="1" t="s">
        <v>1296</v>
      </c>
      <c r="D1214" s="1" t="s">
        <v>1297</v>
      </c>
      <c r="E1214" s="1" t="s">
        <v>16</v>
      </c>
      <c r="F1214" s="1" t="s">
        <v>25</v>
      </c>
      <c r="G1214" s="1" t="s">
        <v>26</v>
      </c>
      <c r="H1214" s="1" t="s">
        <v>86</v>
      </c>
      <c r="I1214">
        <v>2</v>
      </c>
      <c r="J1214">
        <v>6423.4</v>
      </c>
      <c r="K1214">
        <v>0.1</v>
      </c>
      <c r="L1214">
        <v>1483.34</v>
      </c>
      <c r="M1214" s="1" t="s">
        <v>55</v>
      </c>
    </row>
    <row r="1215" spans="1:13" x14ac:dyDescent="0.3">
      <c r="A1215" s="1" t="s">
        <v>2017</v>
      </c>
      <c r="B1215" s="2">
        <v>45984</v>
      </c>
      <c r="C1215" s="1" t="s">
        <v>1233</v>
      </c>
      <c r="D1215" s="1" t="s">
        <v>1234</v>
      </c>
      <c r="E1215" s="1" t="s">
        <v>37</v>
      </c>
      <c r="F1215" s="1" t="s">
        <v>25</v>
      </c>
      <c r="G1215" s="1" t="s">
        <v>18</v>
      </c>
      <c r="H1215" s="1" t="s">
        <v>141</v>
      </c>
      <c r="I1215">
        <v>3</v>
      </c>
      <c r="J1215">
        <v>6681.53</v>
      </c>
      <c r="K1215">
        <v>0.05</v>
      </c>
      <c r="L1215">
        <v>1668.24</v>
      </c>
      <c r="M1215" s="1" t="s">
        <v>50</v>
      </c>
    </row>
    <row r="1216" spans="1:13" x14ac:dyDescent="0.3">
      <c r="A1216" s="1" t="s">
        <v>2018</v>
      </c>
      <c r="B1216" s="2">
        <v>45914</v>
      </c>
      <c r="C1216" s="1" t="s">
        <v>258</v>
      </c>
      <c r="D1216" s="1" t="s">
        <v>259</v>
      </c>
      <c r="E1216" s="1" t="s">
        <v>37</v>
      </c>
      <c r="F1216" s="1" t="s">
        <v>69</v>
      </c>
      <c r="G1216" s="1" t="s">
        <v>18</v>
      </c>
      <c r="H1216" s="1" t="s">
        <v>19</v>
      </c>
      <c r="I1216">
        <v>4</v>
      </c>
      <c r="J1216">
        <v>9445.52</v>
      </c>
      <c r="K1216">
        <v>0.15</v>
      </c>
      <c r="L1216">
        <v>2391.46</v>
      </c>
      <c r="M1216" s="1" t="s">
        <v>28</v>
      </c>
    </row>
    <row r="1217" spans="1:13" x14ac:dyDescent="0.3">
      <c r="A1217" s="1" t="s">
        <v>2019</v>
      </c>
      <c r="B1217" s="2">
        <v>45881</v>
      </c>
      <c r="C1217" s="1" t="s">
        <v>22</v>
      </c>
      <c r="D1217" s="1" t="s">
        <v>23</v>
      </c>
      <c r="E1217" s="1" t="s">
        <v>16</v>
      </c>
      <c r="F1217" s="1" t="s">
        <v>17</v>
      </c>
      <c r="G1217" s="1" t="s">
        <v>44</v>
      </c>
      <c r="H1217" s="1" t="s">
        <v>70</v>
      </c>
      <c r="I1217">
        <v>9</v>
      </c>
      <c r="J1217">
        <v>81547.179999999993</v>
      </c>
      <c r="K1217">
        <v>0.1</v>
      </c>
      <c r="L1217">
        <v>13898.7</v>
      </c>
      <c r="M1217" s="1" t="s">
        <v>28</v>
      </c>
    </row>
    <row r="1218" spans="1:13" x14ac:dyDescent="0.3">
      <c r="A1218" s="1" t="s">
        <v>2020</v>
      </c>
      <c r="B1218" s="2">
        <v>45798</v>
      </c>
      <c r="C1218" s="1" t="s">
        <v>229</v>
      </c>
      <c r="D1218" s="1" t="s">
        <v>230</v>
      </c>
      <c r="E1218" s="1" t="s">
        <v>24</v>
      </c>
      <c r="F1218" s="1" t="s">
        <v>25</v>
      </c>
      <c r="G1218" s="1" t="s">
        <v>32</v>
      </c>
      <c r="H1218" s="1" t="s">
        <v>79</v>
      </c>
      <c r="I1218">
        <v>2</v>
      </c>
      <c r="J1218">
        <v>30850.63</v>
      </c>
      <c r="K1218">
        <v>0.1</v>
      </c>
      <c r="L1218">
        <v>6976.95</v>
      </c>
      <c r="M1218" s="1" t="s">
        <v>50</v>
      </c>
    </row>
    <row r="1219" spans="1:13" x14ac:dyDescent="0.3">
      <c r="A1219" s="1" t="s">
        <v>2021</v>
      </c>
      <c r="B1219" s="2">
        <v>45872</v>
      </c>
      <c r="C1219" s="1" t="s">
        <v>1258</v>
      </c>
      <c r="D1219" s="1" t="s">
        <v>1259</v>
      </c>
      <c r="E1219" s="1" t="s">
        <v>37</v>
      </c>
      <c r="F1219" s="1" t="s">
        <v>25</v>
      </c>
      <c r="G1219" s="1" t="s">
        <v>26</v>
      </c>
      <c r="H1219" s="1" t="s">
        <v>244</v>
      </c>
      <c r="I1219">
        <v>9</v>
      </c>
      <c r="J1219">
        <v>21987.360000000001</v>
      </c>
      <c r="K1219">
        <v>0.2</v>
      </c>
      <c r="L1219">
        <v>4813.82</v>
      </c>
      <c r="M1219" s="1" t="s">
        <v>55</v>
      </c>
    </row>
    <row r="1220" spans="1:13" x14ac:dyDescent="0.3">
      <c r="A1220" s="1" t="s">
        <v>2022</v>
      </c>
      <c r="B1220" s="2">
        <v>45868</v>
      </c>
      <c r="C1220" s="1" t="s">
        <v>665</v>
      </c>
      <c r="D1220" s="1" t="s">
        <v>666</v>
      </c>
      <c r="E1220" s="1" t="s">
        <v>43</v>
      </c>
      <c r="F1220" s="1" t="s">
        <v>69</v>
      </c>
      <c r="G1220" s="1" t="s">
        <v>32</v>
      </c>
      <c r="H1220" s="1" t="s">
        <v>79</v>
      </c>
      <c r="I1220">
        <v>8</v>
      </c>
      <c r="J1220">
        <v>66428.800000000003</v>
      </c>
      <c r="K1220">
        <v>0.05</v>
      </c>
      <c r="L1220">
        <v>15460.9</v>
      </c>
      <c r="M1220" s="1" t="s">
        <v>50</v>
      </c>
    </row>
    <row r="1221" spans="1:13" x14ac:dyDescent="0.3">
      <c r="A1221" s="1" t="s">
        <v>2023</v>
      </c>
      <c r="B1221" s="2">
        <v>45975</v>
      </c>
      <c r="C1221" s="1" t="s">
        <v>392</v>
      </c>
      <c r="D1221" s="1" t="s">
        <v>393</v>
      </c>
      <c r="E1221" s="1" t="s">
        <v>37</v>
      </c>
      <c r="F1221" s="1" t="s">
        <v>69</v>
      </c>
      <c r="G1221" s="1" t="s">
        <v>44</v>
      </c>
      <c r="H1221" s="1" t="s">
        <v>45</v>
      </c>
      <c r="I1221">
        <v>5</v>
      </c>
      <c r="J1221">
        <v>35315.160000000003</v>
      </c>
      <c r="K1221">
        <v>0.15</v>
      </c>
      <c r="L1221">
        <v>7636.21</v>
      </c>
      <c r="M1221" s="1" t="s">
        <v>55</v>
      </c>
    </row>
    <row r="1222" spans="1:13" x14ac:dyDescent="0.3">
      <c r="A1222" s="1" t="s">
        <v>2024</v>
      </c>
      <c r="B1222" s="2">
        <v>45689</v>
      </c>
      <c r="C1222" s="1" t="s">
        <v>355</v>
      </c>
      <c r="D1222" s="1" t="s">
        <v>356</v>
      </c>
      <c r="E1222" s="1" t="s">
        <v>74</v>
      </c>
      <c r="F1222" s="1" t="s">
        <v>25</v>
      </c>
      <c r="G1222" s="1" t="s">
        <v>18</v>
      </c>
      <c r="H1222" s="1" t="s">
        <v>141</v>
      </c>
      <c r="I1222">
        <v>2</v>
      </c>
      <c r="J1222">
        <v>2192.33</v>
      </c>
      <c r="K1222">
        <v>0.25</v>
      </c>
      <c r="L1222">
        <v>679.02</v>
      </c>
      <c r="M1222" s="1" t="s">
        <v>55</v>
      </c>
    </row>
    <row r="1223" spans="1:13" x14ac:dyDescent="0.3">
      <c r="A1223" s="1" t="s">
        <v>2025</v>
      </c>
      <c r="B1223" s="2">
        <v>45815</v>
      </c>
      <c r="C1223" s="1" t="s">
        <v>279</v>
      </c>
      <c r="D1223" s="1" t="s">
        <v>280</v>
      </c>
      <c r="E1223" s="1" t="s">
        <v>74</v>
      </c>
      <c r="F1223" s="1" t="s">
        <v>25</v>
      </c>
      <c r="G1223" s="1" t="s">
        <v>26</v>
      </c>
      <c r="H1223" s="1" t="s">
        <v>86</v>
      </c>
      <c r="I1223">
        <v>10</v>
      </c>
      <c r="J1223">
        <v>23550.51</v>
      </c>
      <c r="K1223">
        <v>0</v>
      </c>
      <c r="L1223">
        <v>6412.24</v>
      </c>
      <c r="M1223" s="1" t="s">
        <v>28</v>
      </c>
    </row>
    <row r="1224" spans="1:13" x14ac:dyDescent="0.3">
      <c r="A1224" s="1" t="s">
        <v>2026</v>
      </c>
      <c r="B1224" s="2">
        <v>45942</v>
      </c>
      <c r="C1224" s="1" t="s">
        <v>359</v>
      </c>
      <c r="D1224" s="1" t="s">
        <v>360</v>
      </c>
      <c r="E1224" s="1" t="s">
        <v>37</v>
      </c>
      <c r="F1224" s="1" t="s">
        <v>25</v>
      </c>
      <c r="G1224" s="1" t="s">
        <v>26</v>
      </c>
      <c r="H1224" s="1" t="s">
        <v>49</v>
      </c>
      <c r="I1224">
        <v>10</v>
      </c>
      <c r="J1224">
        <v>36419.46</v>
      </c>
      <c r="K1224">
        <v>0.15</v>
      </c>
      <c r="L1224">
        <v>8554.91</v>
      </c>
      <c r="M1224" s="1" t="s">
        <v>55</v>
      </c>
    </row>
    <row r="1225" spans="1:13" x14ac:dyDescent="0.3">
      <c r="A1225" s="1" t="s">
        <v>2027</v>
      </c>
      <c r="B1225" s="2">
        <v>45962</v>
      </c>
      <c r="C1225" s="1" t="s">
        <v>273</v>
      </c>
      <c r="D1225" s="1" t="s">
        <v>274</v>
      </c>
      <c r="E1225" s="1" t="s">
        <v>37</v>
      </c>
      <c r="F1225" s="1" t="s">
        <v>25</v>
      </c>
      <c r="G1225" s="1" t="s">
        <v>44</v>
      </c>
      <c r="H1225" s="1" t="s">
        <v>70</v>
      </c>
      <c r="I1225">
        <v>4</v>
      </c>
      <c r="J1225">
        <v>23351.67</v>
      </c>
      <c r="K1225">
        <v>0.25</v>
      </c>
      <c r="L1225">
        <v>4600.8999999999996</v>
      </c>
      <c r="M1225" s="1" t="s">
        <v>55</v>
      </c>
    </row>
    <row r="1226" spans="1:13" x14ac:dyDescent="0.3">
      <c r="A1226" s="1" t="s">
        <v>2028</v>
      </c>
      <c r="B1226" s="2">
        <v>45943</v>
      </c>
      <c r="C1226" s="1" t="s">
        <v>972</v>
      </c>
      <c r="D1226" s="1" t="s">
        <v>973</v>
      </c>
      <c r="E1226" s="1" t="s">
        <v>24</v>
      </c>
      <c r="F1226" s="1" t="s">
        <v>25</v>
      </c>
      <c r="G1226" s="1" t="s">
        <v>44</v>
      </c>
      <c r="H1226" s="1" t="s">
        <v>75</v>
      </c>
      <c r="I1226">
        <v>6</v>
      </c>
      <c r="J1226">
        <v>43492.2</v>
      </c>
      <c r="K1226">
        <v>0.15</v>
      </c>
      <c r="L1226">
        <v>8298.19</v>
      </c>
      <c r="M1226" s="1" t="s">
        <v>28</v>
      </c>
    </row>
    <row r="1227" spans="1:13" x14ac:dyDescent="0.3">
      <c r="A1227" s="1" t="s">
        <v>2029</v>
      </c>
      <c r="B1227" s="2">
        <v>45801</v>
      </c>
      <c r="C1227" s="1" t="s">
        <v>133</v>
      </c>
      <c r="D1227" s="1" t="s">
        <v>134</v>
      </c>
      <c r="E1227" s="1" t="s">
        <v>43</v>
      </c>
      <c r="F1227" s="1" t="s">
        <v>17</v>
      </c>
      <c r="G1227" s="1" t="s">
        <v>26</v>
      </c>
      <c r="H1227" s="1" t="s">
        <v>244</v>
      </c>
      <c r="I1227">
        <v>10</v>
      </c>
      <c r="J1227">
        <v>20885.04</v>
      </c>
      <c r="K1227">
        <v>0.1</v>
      </c>
      <c r="L1227">
        <v>5531.4</v>
      </c>
      <c r="M1227" s="1" t="s">
        <v>28</v>
      </c>
    </row>
    <row r="1228" spans="1:13" x14ac:dyDescent="0.3">
      <c r="A1228" s="1" t="s">
        <v>2030</v>
      </c>
      <c r="B1228" s="2">
        <v>45676</v>
      </c>
      <c r="C1228" s="1" t="s">
        <v>536</v>
      </c>
      <c r="D1228" s="1" t="s">
        <v>537</v>
      </c>
      <c r="E1228" s="1" t="s">
        <v>24</v>
      </c>
      <c r="F1228" s="1" t="s">
        <v>25</v>
      </c>
      <c r="G1228" s="1" t="s">
        <v>32</v>
      </c>
      <c r="H1228" s="1" t="s">
        <v>33</v>
      </c>
      <c r="I1228">
        <v>8</v>
      </c>
      <c r="J1228">
        <v>110383.67</v>
      </c>
      <c r="K1228">
        <v>0.05</v>
      </c>
      <c r="L1228">
        <v>26198.37</v>
      </c>
      <c r="M1228" s="1" t="s">
        <v>50</v>
      </c>
    </row>
    <row r="1229" spans="1:13" x14ac:dyDescent="0.3">
      <c r="A1229" s="1" t="s">
        <v>2031</v>
      </c>
      <c r="B1229" s="2">
        <v>45675</v>
      </c>
      <c r="C1229" s="1" t="s">
        <v>621</v>
      </c>
      <c r="D1229" s="1" t="s">
        <v>622</v>
      </c>
      <c r="E1229" s="1" t="s">
        <v>43</v>
      </c>
      <c r="F1229" s="1" t="s">
        <v>25</v>
      </c>
      <c r="G1229" s="1" t="s">
        <v>32</v>
      </c>
      <c r="H1229" s="1" t="s">
        <v>79</v>
      </c>
      <c r="I1229">
        <v>10</v>
      </c>
      <c r="J1229">
        <v>110291.53</v>
      </c>
      <c r="K1229">
        <v>0.15</v>
      </c>
      <c r="L1229">
        <v>24785.13</v>
      </c>
      <c r="M1229" s="1" t="s">
        <v>28</v>
      </c>
    </row>
    <row r="1230" spans="1:13" x14ac:dyDescent="0.3">
      <c r="A1230" s="1" t="s">
        <v>2032</v>
      </c>
      <c r="B1230" s="2">
        <v>45914</v>
      </c>
      <c r="C1230" s="1" t="s">
        <v>939</v>
      </c>
      <c r="D1230" s="1" t="s">
        <v>940</v>
      </c>
      <c r="E1230" s="1" t="s">
        <v>74</v>
      </c>
      <c r="F1230" s="1" t="s">
        <v>17</v>
      </c>
      <c r="G1230" s="1" t="s">
        <v>18</v>
      </c>
      <c r="H1230" s="1" t="s">
        <v>145</v>
      </c>
      <c r="I1230">
        <v>4</v>
      </c>
      <c r="J1230">
        <v>7150.03</v>
      </c>
      <c r="K1230">
        <v>0.1</v>
      </c>
      <c r="L1230">
        <v>1905.52</v>
      </c>
      <c r="M1230" s="1" t="s">
        <v>20</v>
      </c>
    </row>
    <row r="1231" spans="1:13" x14ac:dyDescent="0.3">
      <c r="A1231" s="1" t="s">
        <v>2033</v>
      </c>
      <c r="B1231" s="2">
        <v>45735</v>
      </c>
      <c r="C1231" s="1" t="s">
        <v>139</v>
      </c>
      <c r="D1231" s="1" t="s">
        <v>140</v>
      </c>
      <c r="E1231" s="1" t="s">
        <v>37</v>
      </c>
      <c r="F1231" s="1" t="s">
        <v>69</v>
      </c>
      <c r="G1231" s="1" t="s">
        <v>32</v>
      </c>
      <c r="H1231" s="1" t="s">
        <v>33</v>
      </c>
      <c r="I1231">
        <v>10</v>
      </c>
      <c r="J1231">
        <v>145596.69</v>
      </c>
      <c r="K1231">
        <v>0.1</v>
      </c>
      <c r="L1231">
        <v>26291.54</v>
      </c>
      <c r="M1231" s="1" t="s">
        <v>28</v>
      </c>
    </row>
    <row r="1232" spans="1:13" x14ac:dyDescent="0.3">
      <c r="A1232" s="1" t="s">
        <v>2034</v>
      </c>
      <c r="B1232" s="2">
        <v>45832</v>
      </c>
      <c r="C1232" s="1" t="s">
        <v>980</v>
      </c>
      <c r="D1232" s="1" t="s">
        <v>981</v>
      </c>
      <c r="E1232" s="1" t="s">
        <v>37</v>
      </c>
      <c r="F1232" s="1" t="s">
        <v>25</v>
      </c>
      <c r="G1232" s="1" t="s">
        <v>26</v>
      </c>
      <c r="H1232" s="1" t="s">
        <v>231</v>
      </c>
      <c r="I1232">
        <v>3</v>
      </c>
      <c r="J1232">
        <v>12026.43</v>
      </c>
      <c r="K1232">
        <v>0.15</v>
      </c>
      <c r="L1232">
        <v>3392.39</v>
      </c>
      <c r="M1232" s="1" t="s">
        <v>28</v>
      </c>
    </row>
    <row r="1233" spans="1:13" x14ac:dyDescent="0.3">
      <c r="A1233" s="1" t="s">
        <v>2035</v>
      </c>
      <c r="B1233" s="2">
        <v>45851</v>
      </c>
      <c r="C1233" s="1" t="s">
        <v>924</v>
      </c>
      <c r="D1233" s="1" t="s">
        <v>925</v>
      </c>
      <c r="E1233" s="1" t="s">
        <v>24</v>
      </c>
      <c r="F1233" s="1" t="s">
        <v>17</v>
      </c>
      <c r="G1233" s="1" t="s">
        <v>26</v>
      </c>
      <c r="H1233" s="1" t="s">
        <v>49</v>
      </c>
      <c r="I1233">
        <v>4</v>
      </c>
      <c r="J1233">
        <v>10236.719999999999</v>
      </c>
      <c r="K1233">
        <v>0.2</v>
      </c>
      <c r="L1233">
        <v>2212.79</v>
      </c>
      <c r="M1233" s="1" t="s">
        <v>28</v>
      </c>
    </row>
    <row r="1234" spans="1:13" x14ac:dyDescent="0.3">
      <c r="A1234" s="1" t="s">
        <v>2036</v>
      </c>
      <c r="B1234" s="2">
        <v>45770</v>
      </c>
      <c r="C1234" s="1" t="s">
        <v>431</v>
      </c>
      <c r="D1234" s="1" t="s">
        <v>432</v>
      </c>
      <c r="E1234" s="1" t="s">
        <v>16</v>
      </c>
      <c r="F1234" s="1" t="s">
        <v>25</v>
      </c>
      <c r="G1234" s="1" t="s">
        <v>44</v>
      </c>
      <c r="H1234" s="1" t="s">
        <v>90</v>
      </c>
      <c r="I1234">
        <v>5</v>
      </c>
      <c r="J1234">
        <v>29371.71</v>
      </c>
      <c r="K1234">
        <v>0</v>
      </c>
      <c r="L1234">
        <v>6456.56</v>
      </c>
      <c r="M1234" s="1" t="s">
        <v>50</v>
      </c>
    </row>
    <row r="1235" spans="1:13" x14ac:dyDescent="0.3">
      <c r="A1235" s="1" t="s">
        <v>2037</v>
      </c>
      <c r="B1235" s="2">
        <v>45771</v>
      </c>
      <c r="C1235" s="1" t="s">
        <v>1757</v>
      </c>
      <c r="D1235" s="1" t="s">
        <v>1758</v>
      </c>
      <c r="E1235" s="1" t="s">
        <v>43</v>
      </c>
      <c r="F1235" s="1" t="s">
        <v>69</v>
      </c>
      <c r="G1235" s="1" t="s">
        <v>18</v>
      </c>
      <c r="H1235" s="1" t="s">
        <v>122</v>
      </c>
      <c r="I1235">
        <v>3</v>
      </c>
      <c r="J1235">
        <v>4628.83</v>
      </c>
      <c r="K1235">
        <v>0.2</v>
      </c>
      <c r="L1235">
        <v>1292.24</v>
      </c>
      <c r="M1235" s="1" t="s">
        <v>28</v>
      </c>
    </row>
    <row r="1236" spans="1:13" x14ac:dyDescent="0.3">
      <c r="A1236" s="1" t="s">
        <v>2038</v>
      </c>
      <c r="B1236" s="2">
        <v>45879</v>
      </c>
      <c r="C1236" s="1" t="s">
        <v>964</v>
      </c>
      <c r="D1236" s="1" t="s">
        <v>965</v>
      </c>
      <c r="E1236" s="1" t="s">
        <v>24</v>
      </c>
      <c r="F1236" s="1" t="s">
        <v>25</v>
      </c>
      <c r="G1236" s="1" t="s">
        <v>32</v>
      </c>
      <c r="H1236" s="1" t="s">
        <v>79</v>
      </c>
      <c r="I1236">
        <v>6</v>
      </c>
      <c r="J1236">
        <v>56385.45</v>
      </c>
      <c r="K1236">
        <v>0.1</v>
      </c>
      <c r="L1236">
        <v>14010.51</v>
      </c>
      <c r="M1236" s="1" t="s">
        <v>55</v>
      </c>
    </row>
    <row r="1237" spans="1:13" x14ac:dyDescent="0.3">
      <c r="A1237" s="1" t="s">
        <v>2039</v>
      </c>
      <c r="B1237" s="2">
        <v>45823</v>
      </c>
      <c r="C1237" s="1" t="s">
        <v>1044</v>
      </c>
      <c r="D1237" s="1" t="s">
        <v>1045</v>
      </c>
      <c r="E1237" s="1" t="s">
        <v>24</v>
      </c>
      <c r="F1237" s="1" t="s">
        <v>69</v>
      </c>
      <c r="G1237" s="1" t="s">
        <v>18</v>
      </c>
      <c r="H1237" s="1" t="s">
        <v>141</v>
      </c>
      <c r="I1237">
        <v>9</v>
      </c>
      <c r="J1237">
        <v>10582.31</v>
      </c>
      <c r="K1237">
        <v>0.1</v>
      </c>
      <c r="L1237">
        <v>2505.42</v>
      </c>
      <c r="M1237" s="1" t="s">
        <v>28</v>
      </c>
    </row>
    <row r="1238" spans="1:13" x14ac:dyDescent="0.3">
      <c r="A1238" s="1" t="s">
        <v>2040</v>
      </c>
      <c r="B1238" s="2">
        <v>45976</v>
      </c>
      <c r="C1238" s="1" t="s">
        <v>887</v>
      </c>
      <c r="D1238" s="1" t="s">
        <v>888</v>
      </c>
      <c r="E1238" s="1" t="s">
        <v>16</v>
      </c>
      <c r="F1238" s="1" t="s">
        <v>69</v>
      </c>
      <c r="G1238" s="1" t="s">
        <v>44</v>
      </c>
      <c r="H1238" s="1" t="s">
        <v>45</v>
      </c>
      <c r="I1238">
        <v>10</v>
      </c>
      <c r="J1238">
        <v>141167.45000000001</v>
      </c>
      <c r="K1238">
        <v>0</v>
      </c>
      <c r="L1238">
        <v>27866.78</v>
      </c>
      <c r="M1238" s="1" t="s">
        <v>28</v>
      </c>
    </row>
    <row r="1239" spans="1:13" x14ac:dyDescent="0.3">
      <c r="A1239" s="1" t="s">
        <v>2041</v>
      </c>
      <c r="B1239" s="2">
        <v>45789</v>
      </c>
      <c r="C1239" s="1" t="s">
        <v>297</v>
      </c>
      <c r="D1239" s="1" t="s">
        <v>298</v>
      </c>
      <c r="E1239" s="1" t="s">
        <v>24</v>
      </c>
      <c r="F1239" s="1" t="s">
        <v>25</v>
      </c>
      <c r="G1239" s="1" t="s">
        <v>26</v>
      </c>
      <c r="H1239" s="1" t="s">
        <v>49</v>
      </c>
      <c r="I1239">
        <v>3</v>
      </c>
      <c r="J1239">
        <v>10840.99</v>
      </c>
      <c r="K1239">
        <v>0.15</v>
      </c>
      <c r="L1239">
        <v>2748.27</v>
      </c>
      <c r="M1239" s="1" t="s">
        <v>20</v>
      </c>
    </row>
    <row r="1240" spans="1:13" x14ac:dyDescent="0.3">
      <c r="A1240" s="1" t="s">
        <v>2042</v>
      </c>
      <c r="B1240" s="2">
        <v>45921</v>
      </c>
      <c r="C1240" s="1" t="s">
        <v>875</v>
      </c>
      <c r="D1240" s="1" t="s">
        <v>876</v>
      </c>
      <c r="E1240" s="1" t="s">
        <v>24</v>
      </c>
      <c r="F1240" s="1" t="s">
        <v>25</v>
      </c>
      <c r="G1240" s="1" t="s">
        <v>44</v>
      </c>
      <c r="H1240" s="1" t="s">
        <v>75</v>
      </c>
      <c r="I1240">
        <v>1</v>
      </c>
      <c r="J1240">
        <v>7760.42</v>
      </c>
      <c r="K1240">
        <v>0.15</v>
      </c>
      <c r="L1240">
        <v>1086.27</v>
      </c>
      <c r="M1240" s="1" t="s">
        <v>20</v>
      </c>
    </row>
    <row r="1241" spans="1:13" x14ac:dyDescent="0.3">
      <c r="A1241" s="1" t="s">
        <v>2043</v>
      </c>
      <c r="B1241" s="2">
        <v>45712</v>
      </c>
      <c r="C1241" s="1" t="s">
        <v>291</v>
      </c>
      <c r="D1241" s="1" t="s">
        <v>292</v>
      </c>
      <c r="E1241" s="1" t="s">
        <v>43</v>
      </c>
      <c r="F1241" s="1" t="s">
        <v>25</v>
      </c>
      <c r="G1241" s="1" t="s">
        <v>18</v>
      </c>
      <c r="H1241" s="1" t="s">
        <v>141</v>
      </c>
      <c r="I1241">
        <v>1</v>
      </c>
      <c r="J1241">
        <v>963.72</v>
      </c>
      <c r="K1241">
        <v>0.2</v>
      </c>
      <c r="L1241">
        <v>229.14</v>
      </c>
      <c r="M1241" s="1" t="s">
        <v>39</v>
      </c>
    </row>
    <row r="1242" spans="1:13" x14ac:dyDescent="0.3">
      <c r="A1242" s="1" t="s">
        <v>2044</v>
      </c>
      <c r="B1242" s="2">
        <v>46016</v>
      </c>
      <c r="C1242" s="1" t="s">
        <v>127</v>
      </c>
      <c r="D1242" s="1" t="s">
        <v>128</v>
      </c>
      <c r="E1242" s="1" t="s">
        <v>24</v>
      </c>
      <c r="F1242" s="1" t="s">
        <v>25</v>
      </c>
      <c r="G1242" s="1" t="s">
        <v>44</v>
      </c>
      <c r="H1242" s="1" t="s">
        <v>70</v>
      </c>
      <c r="I1242">
        <v>7</v>
      </c>
      <c r="J1242">
        <v>65086.9</v>
      </c>
      <c r="K1242">
        <v>0.15</v>
      </c>
      <c r="L1242">
        <v>10994.25</v>
      </c>
      <c r="M1242" s="1" t="s">
        <v>55</v>
      </c>
    </row>
    <row r="1243" spans="1:13" x14ac:dyDescent="0.3">
      <c r="A1243" s="1" t="s">
        <v>2045</v>
      </c>
      <c r="B1243" s="2">
        <v>45788</v>
      </c>
      <c r="C1243" s="1" t="s">
        <v>2046</v>
      </c>
      <c r="D1243" s="1" t="s">
        <v>2047</v>
      </c>
      <c r="E1243" s="1" t="s">
        <v>16</v>
      </c>
      <c r="F1243" s="1" t="s">
        <v>17</v>
      </c>
      <c r="G1243" s="1" t="s">
        <v>26</v>
      </c>
      <c r="H1243" s="1" t="s">
        <v>86</v>
      </c>
      <c r="I1243">
        <v>4</v>
      </c>
      <c r="J1243">
        <v>12488.99</v>
      </c>
      <c r="K1243">
        <v>0.15</v>
      </c>
      <c r="L1243">
        <v>2921.15</v>
      </c>
      <c r="M1243" s="1" t="s">
        <v>55</v>
      </c>
    </row>
    <row r="1244" spans="1:13" x14ac:dyDescent="0.3">
      <c r="A1244" s="1" t="s">
        <v>2048</v>
      </c>
      <c r="B1244" s="2">
        <v>45945</v>
      </c>
      <c r="C1244" s="1" t="s">
        <v>1927</v>
      </c>
      <c r="D1244" s="1" t="s">
        <v>1928</v>
      </c>
      <c r="E1244" s="1" t="s">
        <v>43</v>
      </c>
      <c r="F1244" s="1" t="s">
        <v>69</v>
      </c>
      <c r="G1244" s="1" t="s">
        <v>26</v>
      </c>
      <c r="H1244" s="1" t="s">
        <v>27</v>
      </c>
      <c r="I1244">
        <v>10</v>
      </c>
      <c r="J1244">
        <v>20644.310000000001</v>
      </c>
      <c r="K1244">
        <v>0.2</v>
      </c>
      <c r="L1244">
        <v>5142.6400000000003</v>
      </c>
      <c r="M1244" s="1" t="s">
        <v>50</v>
      </c>
    </row>
    <row r="1245" spans="1:13" x14ac:dyDescent="0.3">
      <c r="A1245" s="1" t="s">
        <v>2049</v>
      </c>
      <c r="B1245" s="2">
        <v>45923</v>
      </c>
      <c r="C1245" s="1" t="s">
        <v>1316</v>
      </c>
      <c r="D1245" s="1" t="s">
        <v>1317</v>
      </c>
      <c r="E1245" s="1" t="s">
        <v>37</v>
      </c>
      <c r="F1245" s="1" t="s">
        <v>25</v>
      </c>
      <c r="G1245" s="1" t="s">
        <v>32</v>
      </c>
      <c r="H1245" s="1" t="s">
        <v>59</v>
      </c>
      <c r="I1245">
        <v>6</v>
      </c>
      <c r="J1245">
        <v>116540.8</v>
      </c>
      <c r="K1245">
        <v>0.05</v>
      </c>
      <c r="L1245">
        <v>25698.61</v>
      </c>
      <c r="M1245" s="1" t="s">
        <v>39</v>
      </c>
    </row>
    <row r="1246" spans="1:13" x14ac:dyDescent="0.3">
      <c r="A1246" s="1" t="s">
        <v>2050</v>
      </c>
      <c r="B1246" s="2">
        <v>45819</v>
      </c>
      <c r="C1246" s="1" t="s">
        <v>1082</v>
      </c>
      <c r="D1246" s="1" t="s">
        <v>1083</v>
      </c>
      <c r="E1246" s="1" t="s">
        <v>43</v>
      </c>
      <c r="F1246" s="1" t="s">
        <v>69</v>
      </c>
      <c r="G1246" s="1" t="s">
        <v>32</v>
      </c>
      <c r="H1246" s="1" t="s">
        <v>59</v>
      </c>
      <c r="I1246">
        <v>7</v>
      </c>
      <c r="J1246">
        <v>79487.570000000007</v>
      </c>
      <c r="K1246">
        <v>0.1</v>
      </c>
      <c r="L1246">
        <v>18951.5</v>
      </c>
      <c r="M1246" s="1" t="s">
        <v>28</v>
      </c>
    </row>
    <row r="1247" spans="1:13" x14ac:dyDescent="0.3">
      <c r="A1247" s="1" t="s">
        <v>2051</v>
      </c>
      <c r="B1247" s="2">
        <v>45744</v>
      </c>
      <c r="C1247" s="1" t="s">
        <v>208</v>
      </c>
      <c r="D1247" s="1" t="s">
        <v>209</v>
      </c>
      <c r="E1247" s="1" t="s">
        <v>43</v>
      </c>
      <c r="F1247" s="1" t="s">
        <v>25</v>
      </c>
      <c r="G1247" s="1" t="s">
        <v>18</v>
      </c>
      <c r="H1247" s="1" t="s">
        <v>145</v>
      </c>
      <c r="I1247">
        <v>9</v>
      </c>
      <c r="J1247">
        <v>19648.62</v>
      </c>
      <c r="K1247">
        <v>0.2</v>
      </c>
      <c r="L1247">
        <v>4535.3</v>
      </c>
      <c r="M1247" s="1" t="s">
        <v>50</v>
      </c>
    </row>
    <row r="1248" spans="1:13" x14ac:dyDescent="0.3">
      <c r="A1248" s="1" t="s">
        <v>2052</v>
      </c>
      <c r="B1248" s="2">
        <v>45712</v>
      </c>
      <c r="C1248" s="1" t="s">
        <v>2053</v>
      </c>
      <c r="D1248" s="1" t="s">
        <v>2054</v>
      </c>
      <c r="E1248" s="1" t="s">
        <v>74</v>
      </c>
      <c r="F1248" s="1" t="s">
        <v>69</v>
      </c>
      <c r="G1248" s="1" t="s">
        <v>32</v>
      </c>
      <c r="H1248" s="1" t="s">
        <v>54</v>
      </c>
      <c r="I1248">
        <v>7</v>
      </c>
      <c r="J1248">
        <v>60850.52</v>
      </c>
      <c r="K1248">
        <v>0.05</v>
      </c>
      <c r="L1248">
        <v>10900.85</v>
      </c>
      <c r="M1248" s="1" t="s">
        <v>28</v>
      </c>
    </row>
    <row r="1249" spans="1:13" x14ac:dyDescent="0.3">
      <c r="A1249" s="1" t="s">
        <v>2055</v>
      </c>
      <c r="B1249" s="2">
        <v>45945</v>
      </c>
      <c r="C1249" s="1" t="s">
        <v>386</v>
      </c>
      <c r="D1249" s="1" t="s">
        <v>387</v>
      </c>
      <c r="E1249" s="1" t="s">
        <v>43</v>
      </c>
      <c r="F1249" s="1" t="s">
        <v>25</v>
      </c>
      <c r="G1249" s="1" t="s">
        <v>44</v>
      </c>
      <c r="H1249" s="1" t="s">
        <v>90</v>
      </c>
      <c r="I1249">
        <v>7</v>
      </c>
      <c r="J1249">
        <v>37407.06</v>
      </c>
      <c r="K1249">
        <v>0.25</v>
      </c>
      <c r="L1249">
        <v>6172.16</v>
      </c>
      <c r="M1249" s="1" t="s">
        <v>20</v>
      </c>
    </row>
    <row r="1250" spans="1:13" x14ac:dyDescent="0.3">
      <c r="A1250" s="1" t="s">
        <v>2056</v>
      </c>
      <c r="B1250" s="2">
        <v>45835</v>
      </c>
      <c r="C1250" s="1" t="s">
        <v>1228</v>
      </c>
      <c r="D1250" s="1" t="s">
        <v>1229</v>
      </c>
      <c r="E1250" s="1" t="s">
        <v>37</v>
      </c>
      <c r="F1250" s="1" t="s">
        <v>69</v>
      </c>
      <c r="G1250" s="1" t="s">
        <v>26</v>
      </c>
      <c r="H1250" s="1" t="s">
        <v>231</v>
      </c>
      <c r="I1250">
        <v>5</v>
      </c>
      <c r="J1250">
        <v>9336.3799999999992</v>
      </c>
      <c r="K1250">
        <v>0.05</v>
      </c>
      <c r="L1250">
        <v>2479.88</v>
      </c>
      <c r="M1250" s="1" t="s">
        <v>20</v>
      </c>
    </row>
    <row r="1251" spans="1:13" x14ac:dyDescent="0.3">
      <c r="A1251" s="1" t="s">
        <v>2057</v>
      </c>
      <c r="B1251" s="2">
        <v>46006</v>
      </c>
      <c r="C1251" s="1" t="s">
        <v>451</v>
      </c>
      <c r="D1251" s="1" t="s">
        <v>452</v>
      </c>
      <c r="E1251" s="1" t="s">
        <v>16</v>
      </c>
      <c r="F1251" s="1" t="s">
        <v>25</v>
      </c>
      <c r="G1251" s="1" t="s">
        <v>32</v>
      </c>
      <c r="H1251" s="1" t="s">
        <v>79</v>
      </c>
      <c r="I1251">
        <v>2</v>
      </c>
      <c r="J1251">
        <v>32395.52</v>
      </c>
      <c r="K1251">
        <v>0.15</v>
      </c>
      <c r="L1251">
        <v>5977.92</v>
      </c>
      <c r="M1251" s="1" t="s">
        <v>55</v>
      </c>
    </row>
    <row r="1252" spans="1:13" x14ac:dyDescent="0.3">
      <c r="A1252" s="1" t="s">
        <v>2058</v>
      </c>
      <c r="B1252" s="2">
        <v>45665</v>
      </c>
      <c r="C1252" s="1" t="s">
        <v>1748</v>
      </c>
      <c r="D1252" s="1" t="s">
        <v>1749</v>
      </c>
      <c r="E1252" s="1" t="s">
        <v>16</v>
      </c>
      <c r="F1252" s="1" t="s">
        <v>25</v>
      </c>
      <c r="G1252" s="1" t="s">
        <v>44</v>
      </c>
      <c r="H1252" s="1" t="s">
        <v>90</v>
      </c>
      <c r="I1252">
        <v>2</v>
      </c>
      <c r="J1252">
        <v>23607.97</v>
      </c>
      <c r="K1252">
        <v>0.1</v>
      </c>
      <c r="L1252">
        <v>3733.73</v>
      </c>
      <c r="M1252" s="1" t="s">
        <v>20</v>
      </c>
    </row>
    <row r="1253" spans="1:13" x14ac:dyDescent="0.3">
      <c r="A1253" s="1" t="s">
        <v>2059</v>
      </c>
      <c r="B1253" s="2">
        <v>45978</v>
      </c>
      <c r="C1253" s="1" t="s">
        <v>249</v>
      </c>
      <c r="D1253" s="1" t="s">
        <v>250</v>
      </c>
      <c r="E1253" s="1" t="s">
        <v>24</v>
      </c>
      <c r="F1253" s="1" t="s">
        <v>69</v>
      </c>
      <c r="G1253" s="1" t="s">
        <v>32</v>
      </c>
      <c r="H1253" s="1" t="s">
        <v>59</v>
      </c>
      <c r="I1253">
        <v>10</v>
      </c>
      <c r="J1253">
        <v>73056.86</v>
      </c>
      <c r="K1253">
        <v>0.15</v>
      </c>
      <c r="L1253">
        <v>16271.95</v>
      </c>
      <c r="M1253" s="1" t="s">
        <v>39</v>
      </c>
    </row>
    <row r="1254" spans="1:13" x14ac:dyDescent="0.3">
      <c r="A1254" s="1" t="s">
        <v>2060</v>
      </c>
      <c r="B1254" s="2">
        <v>45970</v>
      </c>
      <c r="C1254" s="1" t="s">
        <v>214</v>
      </c>
      <c r="D1254" s="1" t="s">
        <v>215</v>
      </c>
      <c r="E1254" s="1" t="s">
        <v>43</v>
      </c>
      <c r="F1254" s="1" t="s">
        <v>25</v>
      </c>
      <c r="G1254" s="1" t="s">
        <v>18</v>
      </c>
      <c r="H1254" s="1" t="s">
        <v>97</v>
      </c>
      <c r="I1254">
        <v>8</v>
      </c>
      <c r="J1254">
        <v>14424.95</v>
      </c>
      <c r="K1254">
        <v>0</v>
      </c>
      <c r="L1254">
        <v>4506.33</v>
      </c>
      <c r="M1254" s="1" t="s">
        <v>20</v>
      </c>
    </row>
    <row r="1255" spans="1:13" x14ac:dyDescent="0.3">
      <c r="A1255" s="1" t="s">
        <v>2061</v>
      </c>
      <c r="B1255" s="2">
        <v>45904</v>
      </c>
      <c r="C1255" s="1" t="s">
        <v>748</v>
      </c>
      <c r="D1255" s="1" t="s">
        <v>749</v>
      </c>
      <c r="E1255" s="1" t="s">
        <v>24</v>
      </c>
      <c r="F1255" s="1" t="s">
        <v>17</v>
      </c>
      <c r="G1255" s="1" t="s">
        <v>44</v>
      </c>
      <c r="H1255" s="1" t="s">
        <v>90</v>
      </c>
      <c r="I1255">
        <v>9</v>
      </c>
      <c r="J1255">
        <v>104610.49</v>
      </c>
      <c r="K1255">
        <v>0.05</v>
      </c>
      <c r="L1255">
        <v>17593.86</v>
      </c>
      <c r="M1255" s="1" t="s">
        <v>50</v>
      </c>
    </row>
    <row r="1256" spans="1:13" x14ac:dyDescent="0.3">
      <c r="A1256" s="1" t="s">
        <v>2062</v>
      </c>
      <c r="B1256" s="2">
        <v>45980</v>
      </c>
      <c r="C1256" s="1" t="s">
        <v>1258</v>
      </c>
      <c r="D1256" s="1" t="s">
        <v>1259</v>
      </c>
      <c r="E1256" s="1" t="s">
        <v>74</v>
      </c>
      <c r="F1256" s="1" t="s">
        <v>25</v>
      </c>
      <c r="G1256" s="1" t="s">
        <v>44</v>
      </c>
      <c r="H1256" s="1" t="s">
        <v>45</v>
      </c>
      <c r="I1256">
        <v>1</v>
      </c>
      <c r="J1256">
        <v>9217.4</v>
      </c>
      <c r="K1256">
        <v>0.1</v>
      </c>
      <c r="L1256">
        <v>1446.02</v>
      </c>
      <c r="M1256" s="1" t="s">
        <v>39</v>
      </c>
    </row>
    <row r="1257" spans="1:13" x14ac:dyDescent="0.3">
      <c r="A1257" s="1" t="s">
        <v>2063</v>
      </c>
      <c r="B1257" s="2">
        <v>45912</v>
      </c>
      <c r="C1257" s="1" t="s">
        <v>382</v>
      </c>
      <c r="D1257" s="1" t="s">
        <v>383</v>
      </c>
      <c r="E1257" s="1" t="s">
        <v>37</v>
      </c>
      <c r="F1257" s="1" t="s">
        <v>25</v>
      </c>
      <c r="G1257" s="1" t="s">
        <v>32</v>
      </c>
      <c r="H1257" s="1" t="s">
        <v>54</v>
      </c>
      <c r="I1257">
        <v>7</v>
      </c>
      <c r="J1257">
        <v>127385.54</v>
      </c>
      <c r="K1257">
        <v>0.15</v>
      </c>
      <c r="L1257">
        <v>32866.83</v>
      </c>
      <c r="M1257" s="1" t="s">
        <v>28</v>
      </c>
    </row>
    <row r="1258" spans="1:13" x14ac:dyDescent="0.3">
      <c r="A1258" s="1" t="s">
        <v>2064</v>
      </c>
      <c r="B1258" s="2">
        <v>45985</v>
      </c>
      <c r="C1258" s="1" t="s">
        <v>424</v>
      </c>
      <c r="D1258" s="1" t="s">
        <v>425</v>
      </c>
      <c r="E1258" s="1" t="s">
        <v>43</v>
      </c>
      <c r="F1258" s="1" t="s">
        <v>25</v>
      </c>
      <c r="G1258" s="1" t="s">
        <v>26</v>
      </c>
      <c r="H1258" s="1" t="s">
        <v>27</v>
      </c>
      <c r="I1258">
        <v>1</v>
      </c>
      <c r="J1258">
        <v>3833.21</v>
      </c>
      <c r="K1258">
        <v>0.1</v>
      </c>
      <c r="L1258">
        <v>1141.49</v>
      </c>
      <c r="M1258" s="1" t="s">
        <v>55</v>
      </c>
    </row>
    <row r="1259" spans="1:13" x14ac:dyDescent="0.3">
      <c r="A1259" s="1" t="s">
        <v>2065</v>
      </c>
      <c r="B1259" s="2">
        <v>45711</v>
      </c>
      <c r="C1259" s="1" t="s">
        <v>1621</v>
      </c>
      <c r="D1259" s="1" t="s">
        <v>1622</v>
      </c>
      <c r="E1259" s="1" t="s">
        <v>43</v>
      </c>
      <c r="F1259" s="1" t="s">
        <v>69</v>
      </c>
      <c r="G1259" s="1" t="s">
        <v>32</v>
      </c>
      <c r="H1259" s="1" t="s">
        <v>59</v>
      </c>
      <c r="I1259">
        <v>5</v>
      </c>
      <c r="J1259">
        <v>69704.41</v>
      </c>
      <c r="K1259">
        <v>0.1</v>
      </c>
      <c r="L1259">
        <v>17835.79</v>
      </c>
      <c r="M1259" s="1" t="s">
        <v>50</v>
      </c>
    </row>
    <row r="1260" spans="1:13" x14ac:dyDescent="0.3">
      <c r="A1260" s="1" t="s">
        <v>2066</v>
      </c>
      <c r="B1260" s="2">
        <v>45906</v>
      </c>
      <c r="C1260" s="1" t="s">
        <v>120</v>
      </c>
      <c r="D1260" s="1" t="s">
        <v>121</v>
      </c>
      <c r="E1260" s="1" t="s">
        <v>24</v>
      </c>
      <c r="F1260" s="1" t="s">
        <v>25</v>
      </c>
      <c r="G1260" s="1" t="s">
        <v>32</v>
      </c>
      <c r="H1260" s="1" t="s">
        <v>59</v>
      </c>
      <c r="I1260">
        <v>4</v>
      </c>
      <c r="J1260">
        <v>75846.44</v>
      </c>
      <c r="K1260">
        <v>0.1</v>
      </c>
      <c r="L1260">
        <v>15409.65</v>
      </c>
      <c r="M1260" s="1" t="s">
        <v>28</v>
      </c>
    </row>
    <row r="1261" spans="1:13" x14ac:dyDescent="0.3">
      <c r="A1261" s="1" t="s">
        <v>2067</v>
      </c>
      <c r="B1261" s="2">
        <v>45896</v>
      </c>
      <c r="C1261" s="1" t="s">
        <v>1082</v>
      </c>
      <c r="D1261" s="1" t="s">
        <v>1083</v>
      </c>
      <c r="E1261" s="1" t="s">
        <v>74</v>
      </c>
      <c r="F1261" s="1" t="s">
        <v>25</v>
      </c>
      <c r="G1261" s="1" t="s">
        <v>32</v>
      </c>
      <c r="H1261" s="1" t="s">
        <v>79</v>
      </c>
      <c r="I1261">
        <v>1</v>
      </c>
      <c r="J1261">
        <v>15511.72</v>
      </c>
      <c r="K1261">
        <v>0.05</v>
      </c>
      <c r="L1261">
        <v>3531.51</v>
      </c>
      <c r="M1261" s="1" t="s">
        <v>20</v>
      </c>
    </row>
    <row r="1262" spans="1:13" x14ac:dyDescent="0.3">
      <c r="A1262" s="1" t="s">
        <v>2068</v>
      </c>
      <c r="B1262" s="2">
        <v>45886</v>
      </c>
      <c r="C1262" s="1" t="s">
        <v>1779</v>
      </c>
      <c r="D1262" s="1" t="s">
        <v>1780</v>
      </c>
      <c r="E1262" s="1" t="s">
        <v>16</v>
      </c>
      <c r="F1262" s="1" t="s">
        <v>17</v>
      </c>
      <c r="G1262" s="1" t="s">
        <v>32</v>
      </c>
      <c r="H1262" s="1" t="s">
        <v>79</v>
      </c>
      <c r="I1262">
        <v>2</v>
      </c>
      <c r="J1262">
        <v>22624.01</v>
      </c>
      <c r="K1262">
        <v>0.05</v>
      </c>
      <c r="L1262">
        <v>4358.13</v>
      </c>
      <c r="M1262" s="1" t="s">
        <v>55</v>
      </c>
    </row>
    <row r="1263" spans="1:13" x14ac:dyDescent="0.3">
      <c r="A1263" s="1" t="s">
        <v>2069</v>
      </c>
      <c r="B1263" s="2">
        <v>45724</v>
      </c>
      <c r="C1263" s="1" t="s">
        <v>580</v>
      </c>
      <c r="D1263" s="1" t="s">
        <v>581</v>
      </c>
      <c r="E1263" s="1" t="s">
        <v>74</v>
      </c>
      <c r="F1263" s="1" t="s">
        <v>25</v>
      </c>
      <c r="G1263" s="1" t="s">
        <v>18</v>
      </c>
      <c r="H1263" s="1" t="s">
        <v>19</v>
      </c>
      <c r="I1263">
        <v>8</v>
      </c>
      <c r="J1263">
        <v>14608.1</v>
      </c>
      <c r="K1263">
        <v>0.15</v>
      </c>
      <c r="L1263">
        <v>3991.05</v>
      </c>
      <c r="M1263" s="1" t="s">
        <v>50</v>
      </c>
    </row>
    <row r="1264" spans="1:13" x14ac:dyDescent="0.3">
      <c r="A1264" s="1" t="s">
        <v>2070</v>
      </c>
      <c r="B1264" s="2">
        <v>45708</v>
      </c>
      <c r="C1264" s="1" t="s">
        <v>567</v>
      </c>
      <c r="D1264" s="1" t="s">
        <v>568</v>
      </c>
      <c r="E1264" s="1" t="s">
        <v>24</v>
      </c>
      <c r="F1264" s="1" t="s">
        <v>69</v>
      </c>
      <c r="G1264" s="1" t="s">
        <v>18</v>
      </c>
      <c r="H1264" s="1" t="s">
        <v>122</v>
      </c>
      <c r="I1264">
        <v>2</v>
      </c>
      <c r="J1264">
        <v>3977.94</v>
      </c>
      <c r="K1264">
        <v>0.1</v>
      </c>
      <c r="L1264">
        <v>1074.42</v>
      </c>
      <c r="M1264" s="1" t="s">
        <v>55</v>
      </c>
    </row>
    <row r="1265" spans="1:13" x14ac:dyDescent="0.3">
      <c r="A1265" s="1" t="s">
        <v>2071</v>
      </c>
      <c r="B1265" s="2">
        <v>45754</v>
      </c>
      <c r="C1265" s="1" t="s">
        <v>246</v>
      </c>
      <c r="D1265" s="1" t="s">
        <v>247</v>
      </c>
      <c r="E1265" s="1" t="s">
        <v>43</v>
      </c>
      <c r="F1265" s="1" t="s">
        <v>17</v>
      </c>
      <c r="G1265" s="1" t="s">
        <v>32</v>
      </c>
      <c r="H1265" s="1" t="s">
        <v>79</v>
      </c>
      <c r="I1265">
        <v>4</v>
      </c>
      <c r="J1265">
        <v>56438.77</v>
      </c>
      <c r="K1265">
        <v>0</v>
      </c>
      <c r="L1265">
        <v>12813.57</v>
      </c>
      <c r="M1265" s="1" t="s">
        <v>55</v>
      </c>
    </row>
    <row r="1266" spans="1:13" x14ac:dyDescent="0.3">
      <c r="A1266" s="1" t="s">
        <v>2072</v>
      </c>
      <c r="B1266" s="2">
        <v>45749</v>
      </c>
      <c r="C1266" s="1" t="s">
        <v>1261</v>
      </c>
      <c r="D1266" s="1" t="s">
        <v>1262</v>
      </c>
      <c r="E1266" s="1" t="s">
        <v>16</v>
      </c>
      <c r="F1266" s="1" t="s">
        <v>25</v>
      </c>
      <c r="G1266" s="1" t="s">
        <v>26</v>
      </c>
      <c r="H1266" s="1" t="s">
        <v>244</v>
      </c>
      <c r="I1266">
        <v>2</v>
      </c>
      <c r="J1266">
        <v>3503.16</v>
      </c>
      <c r="K1266">
        <v>0.15</v>
      </c>
      <c r="L1266">
        <v>1021.74</v>
      </c>
      <c r="M1266" s="1" t="s">
        <v>28</v>
      </c>
    </row>
    <row r="1267" spans="1:13" x14ac:dyDescent="0.3">
      <c r="A1267" s="1" t="s">
        <v>2073</v>
      </c>
      <c r="B1267" s="2">
        <v>45921</v>
      </c>
      <c r="C1267" s="1" t="s">
        <v>901</v>
      </c>
      <c r="D1267" s="1" t="s">
        <v>902</v>
      </c>
      <c r="E1267" s="1" t="s">
        <v>37</v>
      </c>
      <c r="F1267" s="1" t="s">
        <v>69</v>
      </c>
      <c r="G1267" s="1" t="s">
        <v>44</v>
      </c>
      <c r="H1267" s="1" t="s">
        <v>75</v>
      </c>
      <c r="I1267">
        <v>7</v>
      </c>
      <c r="J1267">
        <v>48388.7</v>
      </c>
      <c r="K1267">
        <v>0.15</v>
      </c>
      <c r="L1267">
        <v>9703.91</v>
      </c>
      <c r="M1267" s="1" t="s">
        <v>39</v>
      </c>
    </row>
    <row r="1268" spans="1:13" x14ac:dyDescent="0.3">
      <c r="A1268" s="1" t="s">
        <v>2074</v>
      </c>
      <c r="B1268" s="2">
        <v>45948</v>
      </c>
      <c r="C1268" s="1" t="s">
        <v>124</v>
      </c>
      <c r="D1268" s="1" t="s">
        <v>125</v>
      </c>
      <c r="E1268" s="1" t="s">
        <v>37</v>
      </c>
      <c r="F1268" s="1" t="s">
        <v>25</v>
      </c>
      <c r="G1268" s="1" t="s">
        <v>32</v>
      </c>
      <c r="H1268" s="1" t="s">
        <v>54</v>
      </c>
      <c r="I1268">
        <v>10</v>
      </c>
      <c r="J1268">
        <v>91491.99</v>
      </c>
      <c r="K1268">
        <v>0.25</v>
      </c>
      <c r="L1268">
        <v>16996.36</v>
      </c>
      <c r="M1268" s="1" t="s">
        <v>55</v>
      </c>
    </row>
    <row r="1269" spans="1:13" x14ac:dyDescent="0.3">
      <c r="A1269" s="1" t="s">
        <v>2075</v>
      </c>
      <c r="B1269" s="2">
        <v>45753</v>
      </c>
      <c r="C1269" s="1" t="s">
        <v>67</v>
      </c>
      <c r="D1269" s="1" t="s">
        <v>68</v>
      </c>
      <c r="E1269" s="1" t="s">
        <v>16</v>
      </c>
      <c r="F1269" s="1" t="s">
        <v>17</v>
      </c>
      <c r="G1269" s="1" t="s">
        <v>44</v>
      </c>
      <c r="H1269" s="1" t="s">
        <v>45</v>
      </c>
      <c r="I1269">
        <v>1</v>
      </c>
      <c r="J1269">
        <v>4594.5</v>
      </c>
      <c r="K1269">
        <v>0.2</v>
      </c>
      <c r="L1269">
        <v>895.09</v>
      </c>
      <c r="M1269" s="1" t="s">
        <v>55</v>
      </c>
    </row>
    <row r="1270" spans="1:13" x14ac:dyDescent="0.3">
      <c r="A1270" s="1" t="s">
        <v>2076</v>
      </c>
      <c r="B1270" s="2">
        <v>45745</v>
      </c>
      <c r="C1270" s="1" t="s">
        <v>420</v>
      </c>
      <c r="D1270" s="1" t="s">
        <v>421</v>
      </c>
      <c r="E1270" s="1" t="s">
        <v>74</v>
      </c>
      <c r="F1270" s="1" t="s">
        <v>25</v>
      </c>
      <c r="G1270" s="1" t="s">
        <v>32</v>
      </c>
      <c r="H1270" s="1" t="s">
        <v>79</v>
      </c>
      <c r="I1270">
        <v>7</v>
      </c>
      <c r="J1270">
        <v>64743.72</v>
      </c>
      <c r="K1270">
        <v>0.25</v>
      </c>
      <c r="L1270">
        <v>13162.87</v>
      </c>
      <c r="M1270" s="1" t="s">
        <v>50</v>
      </c>
    </row>
    <row r="1271" spans="1:13" x14ac:dyDescent="0.3">
      <c r="A1271" s="1" t="s">
        <v>2077</v>
      </c>
      <c r="B1271" s="2">
        <v>45735</v>
      </c>
      <c r="C1271" s="1" t="s">
        <v>196</v>
      </c>
      <c r="D1271" s="1" t="s">
        <v>197</v>
      </c>
      <c r="E1271" s="1" t="s">
        <v>74</v>
      </c>
      <c r="F1271" s="1" t="s">
        <v>25</v>
      </c>
      <c r="G1271" s="1" t="s">
        <v>18</v>
      </c>
      <c r="H1271" s="1" t="s">
        <v>122</v>
      </c>
      <c r="I1271">
        <v>4</v>
      </c>
      <c r="J1271">
        <v>4602.6000000000004</v>
      </c>
      <c r="K1271">
        <v>0</v>
      </c>
      <c r="L1271">
        <v>1254.74</v>
      </c>
      <c r="M1271" s="1" t="s">
        <v>39</v>
      </c>
    </row>
    <row r="1272" spans="1:13" x14ac:dyDescent="0.3">
      <c r="A1272" s="1" t="s">
        <v>2078</v>
      </c>
      <c r="B1272" s="2">
        <v>45945</v>
      </c>
      <c r="C1272" s="1" t="s">
        <v>169</v>
      </c>
      <c r="D1272" s="1" t="s">
        <v>170</v>
      </c>
      <c r="E1272" s="1" t="s">
        <v>74</v>
      </c>
      <c r="F1272" s="1" t="s">
        <v>69</v>
      </c>
      <c r="G1272" s="1" t="s">
        <v>32</v>
      </c>
      <c r="H1272" s="1" t="s">
        <v>79</v>
      </c>
      <c r="I1272">
        <v>9</v>
      </c>
      <c r="J1272">
        <v>128522.55</v>
      </c>
      <c r="K1272">
        <v>0</v>
      </c>
      <c r="L1272">
        <v>31276.71</v>
      </c>
      <c r="M1272" s="1" t="s">
        <v>55</v>
      </c>
    </row>
    <row r="1273" spans="1:13" x14ac:dyDescent="0.3">
      <c r="A1273" s="1" t="s">
        <v>2079</v>
      </c>
      <c r="B1273" s="2">
        <v>45777</v>
      </c>
      <c r="C1273" s="1" t="s">
        <v>1218</v>
      </c>
      <c r="D1273" s="1" t="s">
        <v>1219</v>
      </c>
      <c r="E1273" s="1" t="s">
        <v>37</v>
      </c>
      <c r="F1273" s="1" t="s">
        <v>25</v>
      </c>
      <c r="G1273" s="1" t="s">
        <v>18</v>
      </c>
      <c r="H1273" s="1" t="s">
        <v>145</v>
      </c>
      <c r="I1273">
        <v>5</v>
      </c>
      <c r="J1273">
        <v>8549.2099999999991</v>
      </c>
      <c r="K1273">
        <v>0.2</v>
      </c>
      <c r="L1273">
        <v>2467.3200000000002</v>
      </c>
      <c r="M1273" s="1" t="s">
        <v>20</v>
      </c>
    </row>
    <row r="1274" spans="1:13" x14ac:dyDescent="0.3">
      <c r="A1274" s="1" t="s">
        <v>2080</v>
      </c>
      <c r="B1274" s="2">
        <v>45959</v>
      </c>
      <c r="C1274" s="1" t="s">
        <v>1774</v>
      </c>
      <c r="D1274" s="1" t="s">
        <v>1775</v>
      </c>
      <c r="E1274" s="1" t="s">
        <v>16</v>
      </c>
      <c r="F1274" s="1" t="s">
        <v>17</v>
      </c>
      <c r="G1274" s="1" t="s">
        <v>32</v>
      </c>
      <c r="H1274" s="1" t="s">
        <v>59</v>
      </c>
      <c r="I1274">
        <v>4</v>
      </c>
      <c r="J1274">
        <v>77133.59</v>
      </c>
      <c r="K1274">
        <v>0.05</v>
      </c>
      <c r="L1274">
        <v>20059.490000000002</v>
      </c>
      <c r="M1274" s="1" t="s">
        <v>28</v>
      </c>
    </row>
    <row r="1275" spans="1:13" x14ac:dyDescent="0.3">
      <c r="A1275" s="1" t="s">
        <v>2081</v>
      </c>
      <c r="B1275" s="2">
        <v>45822</v>
      </c>
      <c r="C1275" s="1" t="s">
        <v>1186</v>
      </c>
      <c r="D1275" s="1" t="s">
        <v>1187</v>
      </c>
      <c r="E1275" s="1" t="s">
        <v>37</v>
      </c>
      <c r="F1275" s="1" t="s">
        <v>25</v>
      </c>
      <c r="G1275" s="1" t="s">
        <v>44</v>
      </c>
      <c r="H1275" s="1" t="s">
        <v>70</v>
      </c>
      <c r="I1275">
        <v>9</v>
      </c>
      <c r="J1275">
        <v>78601.94</v>
      </c>
      <c r="K1275">
        <v>0</v>
      </c>
      <c r="L1275">
        <v>14713.08</v>
      </c>
      <c r="M1275" s="1" t="s">
        <v>28</v>
      </c>
    </row>
    <row r="1276" spans="1:13" x14ac:dyDescent="0.3">
      <c r="A1276" s="1" t="s">
        <v>2082</v>
      </c>
      <c r="B1276" s="2">
        <v>45839</v>
      </c>
      <c r="C1276" s="1" t="s">
        <v>1178</v>
      </c>
      <c r="D1276" s="1" t="s">
        <v>1179</v>
      </c>
      <c r="E1276" s="1" t="s">
        <v>16</v>
      </c>
      <c r="F1276" s="1" t="s">
        <v>69</v>
      </c>
      <c r="G1276" s="1" t="s">
        <v>32</v>
      </c>
      <c r="H1276" s="1" t="s">
        <v>33</v>
      </c>
      <c r="I1276">
        <v>6</v>
      </c>
      <c r="J1276">
        <v>61165.95</v>
      </c>
      <c r="K1276">
        <v>0.05</v>
      </c>
      <c r="L1276">
        <v>11673.69</v>
      </c>
      <c r="M1276" s="1" t="s">
        <v>20</v>
      </c>
    </row>
    <row r="1277" spans="1:13" x14ac:dyDescent="0.3">
      <c r="A1277" s="1" t="s">
        <v>2083</v>
      </c>
      <c r="B1277" s="2">
        <v>45880</v>
      </c>
      <c r="C1277" s="1" t="s">
        <v>952</v>
      </c>
      <c r="D1277" s="1" t="s">
        <v>953</v>
      </c>
      <c r="E1277" s="1" t="s">
        <v>74</v>
      </c>
      <c r="F1277" s="1" t="s">
        <v>25</v>
      </c>
      <c r="G1277" s="1" t="s">
        <v>26</v>
      </c>
      <c r="H1277" s="1" t="s">
        <v>231</v>
      </c>
      <c r="I1277">
        <v>10</v>
      </c>
      <c r="J1277">
        <v>33856.03</v>
      </c>
      <c r="K1277">
        <v>0.1</v>
      </c>
      <c r="L1277">
        <v>7702.83</v>
      </c>
      <c r="M1277" s="1" t="s">
        <v>55</v>
      </c>
    </row>
    <row r="1278" spans="1:13" x14ac:dyDescent="0.3">
      <c r="A1278" s="1" t="s">
        <v>2084</v>
      </c>
      <c r="B1278" s="2">
        <v>45968</v>
      </c>
      <c r="C1278" s="1" t="s">
        <v>1437</v>
      </c>
      <c r="D1278" s="1" t="s">
        <v>1438</v>
      </c>
      <c r="E1278" s="1" t="s">
        <v>37</v>
      </c>
      <c r="F1278" s="1" t="s">
        <v>25</v>
      </c>
      <c r="G1278" s="1" t="s">
        <v>44</v>
      </c>
      <c r="H1278" s="1" t="s">
        <v>75</v>
      </c>
      <c r="I1278">
        <v>6</v>
      </c>
      <c r="J1278">
        <v>50631.08</v>
      </c>
      <c r="K1278">
        <v>0.05</v>
      </c>
      <c r="L1278">
        <v>8534.48</v>
      </c>
      <c r="M1278" s="1" t="s">
        <v>55</v>
      </c>
    </row>
    <row r="1279" spans="1:13" x14ac:dyDescent="0.3">
      <c r="A1279" s="1" t="s">
        <v>2085</v>
      </c>
      <c r="B1279" s="2">
        <v>45664</v>
      </c>
      <c r="C1279" s="1" t="s">
        <v>1238</v>
      </c>
      <c r="D1279" s="1" t="s">
        <v>1239</v>
      </c>
      <c r="E1279" s="1" t="s">
        <v>37</v>
      </c>
      <c r="F1279" s="1" t="s">
        <v>69</v>
      </c>
      <c r="G1279" s="1" t="s">
        <v>44</v>
      </c>
      <c r="H1279" s="1" t="s">
        <v>75</v>
      </c>
      <c r="I1279">
        <v>3</v>
      </c>
      <c r="J1279">
        <v>15838.4</v>
      </c>
      <c r="K1279">
        <v>0.05</v>
      </c>
      <c r="L1279">
        <v>2500.42</v>
      </c>
      <c r="M1279" s="1" t="s">
        <v>39</v>
      </c>
    </row>
    <row r="1280" spans="1:13" x14ac:dyDescent="0.3">
      <c r="A1280" s="1" t="s">
        <v>2086</v>
      </c>
      <c r="B1280" s="2">
        <v>45987</v>
      </c>
      <c r="C1280" s="1" t="s">
        <v>288</v>
      </c>
      <c r="D1280" s="1" t="s">
        <v>289</v>
      </c>
      <c r="E1280" s="1" t="s">
        <v>24</v>
      </c>
      <c r="F1280" s="1" t="s">
        <v>25</v>
      </c>
      <c r="G1280" s="1" t="s">
        <v>44</v>
      </c>
      <c r="H1280" s="1" t="s">
        <v>90</v>
      </c>
      <c r="I1280">
        <v>6</v>
      </c>
      <c r="J1280">
        <v>64279.76</v>
      </c>
      <c r="K1280">
        <v>0.2</v>
      </c>
      <c r="L1280">
        <v>9652.92</v>
      </c>
      <c r="M1280" s="1" t="s">
        <v>55</v>
      </c>
    </row>
    <row r="1281" spans="1:13" x14ac:dyDescent="0.3">
      <c r="A1281" s="1" t="s">
        <v>2087</v>
      </c>
      <c r="B1281" s="2">
        <v>45920</v>
      </c>
      <c r="C1281" s="1" t="s">
        <v>220</v>
      </c>
      <c r="D1281" s="1" t="s">
        <v>221</v>
      </c>
      <c r="E1281" s="1" t="s">
        <v>24</v>
      </c>
      <c r="F1281" s="1" t="s">
        <v>17</v>
      </c>
      <c r="G1281" s="1" t="s">
        <v>32</v>
      </c>
      <c r="H1281" s="1" t="s">
        <v>33</v>
      </c>
      <c r="I1281">
        <v>5</v>
      </c>
      <c r="J1281">
        <v>81156.09</v>
      </c>
      <c r="K1281">
        <v>0.1</v>
      </c>
      <c r="L1281">
        <v>14030.73</v>
      </c>
      <c r="M1281" s="1" t="s">
        <v>28</v>
      </c>
    </row>
    <row r="1282" spans="1:13" x14ac:dyDescent="0.3">
      <c r="A1282" s="1" t="s">
        <v>2088</v>
      </c>
      <c r="B1282" s="2">
        <v>45818</v>
      </c>
      <c r="C1282" s="1" t="s">
        <v>169</v>
      </c>
      <c r="D1282" s="1" t="s">
        <v>170</v>
      </c>
      <c r="E1282" s="1" t="s">
        <v>24</v>
      </c>
      <c r="F1282" s="1" t="s">
        <v>25</v>
      </c>
      <c r="G1282" s="1" t="s">
        <v>18</v>
      </c>
      <c r="H1282" s="1" t="s">
        <v>122</v>
      </c>
      <c r="I1282">
        <v>8</v>
      </c>
      <c r="J1282">
        <v>11773.63</v>
      </c>
      <c r="K1282">
        <v>0.15</v>
      </c>
      <c r="L1282">
        <v>3183.62</v>
      </c>
      <c r="M1282" s="1" t="s">
        <v>50</v>
      </c>
    </row>
    <row r="1283" spans="1:13" x14ac:dyDescent="0.3">
      <c r="A1283" s="1" t="s">
        <v>2089</v>
      </c>
      <c r="B1283" s="2">
        <v>45808</v>
      </c>
      <c r="C1283" s="1" t="s">
        <v>153</v>
      </c>
      <c r="D1283" s="1" t="s">
        <v>154</v>
      </c>
      <c r="E1283" s="1" t="s">
        <v>74</v>
      </c>
      <c r="F1283" s="1" t="s">
        <v>25</v>
      </c>
      <c r="G1283" s="1" t="s">
        <v>44</v>
      </c>
      <c r="H1283" s="1" t="s">
        <v>45</v>
      </c>
      <c r="I1283">
        <v>8</v>
      </c>
      <c r="J1283">
        <v>45865.64</v>
      </c>
      <c r="K1283">
        <v>0.05</v>
      </c>
      <c r="L1283">
        <v>9885.4599999999991</v>
      </c>
      <c r="M1283" s="1" t="s">
        <v>50</v>
      </c>
    </row>
    <row r="1284" spans="1:13" x14ac:dyDescent="0.3">
      <c r="A1284" s="1" t="s">
        <v>2090</v>
      </c>
      <c r="B1284" s="2">
        <v>45742</v>
      </c>
      <c r="C1284" s="1" t="s">
        <v>363</v>
      </c>
      <c r="D1284" s="1" t="s">
        <v>364</v>
      </c>
      <c r="E1284" s="1" t="s">
        <v>43</v>
      </c>
      <c r="F1284" s="1" t="s">
        <v>17</v>
      </c>
      <c r="G1284" s="1" t="s">
        <v>32</v>
      </c>
      <c r="H1284" s="1" t="s">
        <v>59</v>
      </c>
      <c r="I1284">
        <v>3</v>
      </c>
      <c r="J1284">
        <v>46869.99</v>
      </c>
      <c r="K1284">
        <v>0.2</v>
      </c>
      <c r="L1284">
        <v>10336.030000000001</v>
      </c>
      <c r="M1284" s="1" t="s">
        <v>28</v>
      </c>
    </row>
    <row r="1285" spans="1:13" x14ac:dyDescent="0.3">
      <c r="A1285" s="1" t="s">
        <v>2091</v>
      </c>
      <c r="B1285" s="2">
        <v>45804</v>
      </c>
      <c r="C1285" s="1" t="s">
        <v>2092</v>
      </c>
      <c r="D1285" s="1" t="s">
        <v>2093</v>
      </c>
      <c r="E1285" s="1" t="s">
        <v>37</v>
      </c>
      <c r="F1285" s="1" t="s">
        <v>69</v>
      </c>
      <c r="G1285" s="1" t="s">
        <v>18</v>
      </c>
      <c r="H1285" s="1" t="s">
        <v>19</v>
      </c>
      <c r="I1285">
        <v>6</v>
      </c>
      <c r="J1285">
        <v>7746.43</v>
      </c>
      <c r="K1285">
        <v>0.2</v>
      </c>
      <c r="L1285">
        <v>2369.1999999999998</v>
      </c>
      <c r="M1285" s="1" t="s">
        <v>55</v>
      </c>
    </row>
    <row r="1286" spans="1:13" x14ac:dyDescent="0.3">
      <c r="A1286" s="1" t="s">
        <v>2094</v>
      </c>
      <c r="B1286" s="2">
        <v>45769</v>
      </c>
      <c r="C1286" s="1" t="s">
        <v>472</v>
      </c>
      <c r="D1286" s="1" t="s">
        <v>473</v>
      </c>
      <c r="E1286" s="1" t="s">
        <v>24</v>
      </c>
      <c r="F1286" s="1" t="s">
        <v>25</v>
      </c>
      <c r="G1286" s="1" t="s">
        <v>32</v>
      </c>
      <c r="H1286" s="1" t="s">
        <v>59</v>
      </c>
      <c r="I1286">
        <v>5</v>
      </c>
      <c r="J1286">
        <v>84091.56</v>
      </c>
      <c r="K1286">
        <v>0.15</v>
      </c>
      <c r="L1286">
        <v>20360.29</v>
      </c>
      <c r="M1286" s="1" t="s">
        <v>28</v>
      </c>
    </row>
    <row r="1287" spans="1:13" x14ac:dyDescent="0.3">
      <c r="A1287" s="1" t="s">
        <v>2095</v>
      </c>
      <c r="B1287" s="2">
        <v>45693</v>
      </c>
      <c r="C1287" s="1" t="s">
        <v>147</v>
      </c>
      <c r="D1287" s="1" t="s">
        <v>148</v>
      </c>
      <c r="E1287" s="1" t="s">
        <v>37</v>
      </c>
      <c r="F1287" s="1" t="s">
        <v>25</v>
      </c>
      <c r="G1287" s="1" t="s">
        <v>26</v>
      </c>
      <c r="H1287" s="1" t="s">
        <v>244</v>
      </c>
      <c r="I1287">
        <v>7</v>
      </c>
      <c r="J1287">
        <v>30594.45</v>
      </c>
      <c r="K1287">
        <v>0.05</v>
      </c>
      <c r="L1287">
        <v>7262.37</v>
      </c>
      <c r="M1287" s="1" t="s">
        <v>20</v>
      </c>
    </row>
    <row r="1288" spans="1:13" x14ac:dyDescent="0.3">
      <c r="A1288" s="1" t="s">
        <v>2096</v>
      </c>
      <c r="B1288" s="2">
        <v>45942</v>
      </c>
      <c r="C1288" s="1" t="s">
        <v>739</v>
      </c>
      <c r="D1288" s="1" t="s">
        <v>740</v>
      </c>
      <c r="E1288" s="1" t="s">
        <v>16</v>
      </c>
      <c r="F1288" s="1" t="s">
        <v>25</v>
      </c>
      <c r="G1288" s="1" t="s">
        <v>44</v>
      </c>
      <c r="H1288" s="1" t="s">
        <v>70</v>
      </c>
      <c r="I1288">
        <v>3</v>
      </c>
      <c r="J1288">
        <v>16621.43</v>
      </c>
      <c r="K1288">
        <v>0.25</v>
      </c>
      <c r="L1288">
        <v>3091.4</v>
      </c>
      <c r="M1288" s="1" t="s">
        <v>50</v>
      </c>
    </row>
    <row r="1289" spans="1:13" x14ac:dyDescent="0.3">
      <c r="A1289" s="1" t="s">
        <v>2097</v>
      </c>
      <c r="B1289" s="2">
        <v>45845</v>
      </c>
      <c r="C1289" s="1" t="s">
        <v>1203</v>
      </c>
      <c r="D1289" s="1" t="s">
        <v>1204</v>
      </c>
      <c r="E1289" s="1" t="s">
        <v>16</v>
      </c>
      <c r="F1289" s="1" t="s">
        <v>25</v>
      </c>
      <c r="G1289" s="1" t="s">
        <v>32</v>
      </c>
      <c r="H1289" s="1" t="s">
        <v>59</v>
      </c>
      <c r="I1289">
        <v>3</v>
      </c>
      <c r="J1289">
        <v>53882.73</v>
      </c>
      <c r="K1289">
        <v>0</v>
      </c>
      <c r="L1289">
        <v>13212.37</v>
      </c>
      <c r="M1289" s="1" t="s">
        <v>28</v>
      </c>
    </row>
    <row r="1290" spans="1:13" x14ac:dyDescent="0.3">
      <c r="A1290" s="1" t="s">
        <v>2098</v>
      </c>
      <c r="B1290" s="2">
        <v>45739</v>
      </c>
      <c r="C1290" s="1" t="s">
        <v>366</v>
      </c>
      <c r="D1290" s="1" t="s">
        <v>367</v>
      </c>
      <c r="E1290" s="1" t="s">
        <v>37</v>
      </c>
      <c r="F1290" s="1" t="s">
        <v>25</v>
      </c>
      <c r="G1290" s="1" t="s">
        <v>32</v>
      </c>
      <c r="H1290" s="1" t="s">
        <v>54</v>
      </c>
      <c r="I1290">
        <v>6</v>
      </c>
      <c r="J1290">
        <v>61870.11</v>
      </c>
      <c r="K1290">
        <v>0.15</v>
      </c>
      <c r="L1290">
        <v>13219.26</v>
      </c>
      <c r="M1290" s="1" t="s">
        <v>28</v>
      </c>
    </row>
    <row r="1291" spans="1:13" x14ac:dyDescent="0.3">
      <c r="A1291" s="1" t="s">
        <v>2099</v>
      </c>
      <c r="B1291" s="2">
        <v>45659</v>
      </c>
      <c r="C1291" s="1" t="s">
        <v>202</v>
      </c>
      <c r="D1291" s="1" t="s">
        <v>203</v>
      </c>
      <c r="E1291" s="1" t="s">
        <v>16</v>
      </c>
      <c r="F1291" s="1" t="s">
        <v>25</v>
      </c>
      <c r="G1291" s="1" t="s">
        <v>26</v>
      </c>
      <c r="H1291" s="1" t="s">
        <v>231</v>
      </c>
      <c r="I1291">
        <v>10</v>
      </c>
      <c r="J1291">
        <v>37734.28</v>
      </c>
      <c r="K1291">
        <v>0.15</v>
      </c>
      <c r="L1291">
        <v>8197.58</v>
      </c>
      <c r="M1291" s="1" t="s">
        <v>28</v>
      </c>
    </row>
    <row r="1292" spans="1:13" x14ac:dyDescent="0.3">
      <c r="A1292" s="1" t="s">
        <v>2100</v>
      </c>
      <c r="B1292" s="2">
        <v>45960</v>
      </c>
      <c r="C1292" s="1" t="s">
        <v>1941</v>
      </c>
      <c r="D1292" s="1" t="s">
        <v>1942</v>
      </c>
      <c r="E1292" s="1" t="s">
        <v>43</v>
      </c>
      <c r="F1292" s="1" t="s">
        <v>69</v>
      </c>
      <c r="G1292" s="1" t="s">
        <v>32</v>
      </c>
      <c r="H1292" s="1" t="s">
        <v>54</v>
      </c>
      <c r="I1292">
        <v>1</v>
      </c>
      <c r="J1292">
        <v>14108.32</v>
      </c>
      <c r="K1292">
        <v>0.1</v>
      </c>
      <c r="L1292">
        <v>2705.69</v>
      </c>
      <c r="M1292" s="1" t="s">
        <v>55</v>
      </c>
    </row>
    <row r="1293" spans="1:13" x14ac:dyDescent="0.3">
      <c r="A1293" s="1" t="s">
        <v>2101</v>
      </c>
      <c r="B1293" s="2">
        <v>45854</v>
      </c>
      <c r="C1293" s="1" t="s">
        <v>777</v>
      </c>
      <c r="D1293" s="1" t="s">
        <v>778</v>
      </c>
      <c r="E1293" s="1" t="s">
        <v>16</v>
      </c>
      <c r="F1293" s="1" t="s">
        <v>25</v>
      </c>
      <c r="G1293" s="1" t="s">
        <v>44</v>
      </c>
      <c r="H1293" s="1" t="s">
        <v>155</v>
      </c>
      <c r="I1293">
        <v>3</v>
      </c>
      <c r="J1293">
        <v>18969.39</v>
      </c>
      <c r="K1293">
        <v>0.15</v>
      </c>
      <c r="L1293">
        <v>4217.2299999999996</v>
      </c>
      <c r="M1293" s="1" t="s">
        <v>50</v>
      </c>
    </row>
    <row r="1294" spans="1:13" x14ac:dyDescent="0.3">
      <c r="A1294" s="1" t="s">
        <v>2102</v>
      </c>
      <c r="B1294" s="2">
        <v>45668</v>
      </c>
      <c r="C1294" s="1" t="s">
        <v>117</v>
      </c>
      <c r="D1294" s="1" t="s">
        <v>118</v>
      </c>
      <c r="E1294" s="1" t="s">
        <v>24</v>
      </c>
      <c r="F1294" s="1" t="s">
        <v>25</v>
      </c>
      <c r="G1294" s="1" t="s">
        <v>44</v>
      </c>
      <c r="H1294" s="1" t="s">
        <v>45</v>
      </c>
      <c r="I1294">
        <v>10</v>
      </c>
      <c r="J1294">
        <v>101304.8</v>
      </c>
      <c r="K1294">
        <v>0</v>
      </c>
      <c r="L1294">
        <v>16427.47</v>
      </c>
      <c r="M1294" s="1" t="s">
        <v>28</v>
      </c>
    </row>
    <row r="1295" spans="1:13" x14ac:dyDescent="0.3">
      <c r="A1295" s="1" t="s">
        <v>2103</v>
      </c>
      <c r="B1295" s="2">
        <v>45891</v>
      </c>
      <c r="C1295" s="1" t="s">
        <v>901</v>
      </c>
      <c r="D1295" s="1" t="s">
        <v>902</v>
      </c>
      <c r="E1295" s="1" t="s">
        <v>37</v>
      </c>
      <c r="F1295" s="1" t="s">
        <v>69</v>
      </c>
      <c r="G1295" s="1" t="s">
        <v>32</v>
      </c>
      <c r="H1295" s="1" t="s">
        <v>33</v>
      </c>
      <c r="I1295">
        <v>7</v>
      </c>
      <c r="J1295">
        <v>106358.99</v>
      </c>
      <c r="K1295">
        <v>0.15</v>
      </c>
      <c r="L1295">
        <v>25217.53</v>
      </c>
      <c r="M1295" s="1" t="s">
        <v>50</v>
      </c>
    </row>
    <row r="1296" spans="1:13" x14ac:dyDescent="0.3">
      <c r="A1296" s="1" t="s">
        <v>2104</v>
      </c>
      <c r="B1296" s="2">
        <v>45852</v>
      </c>
      <c r="C1296" s="1" t="s">
        <v>786</v>
      </c>
      <c r="D1296" s="1" t="s">
        <v>787</v>
      </c>
      <c r="E1296" s="1" t="s">
        <v>16</v>
      </c>
      <c r="F1296" s="1" t="s">
        <v>25</v>
      </c>
      <c r="G1296" s="1" t="s">
        <v>44</v>
      </c>
      <c r="H1296" s="1" t="s">
        <v>155</v>
      </c>
      <c r="I1296">
        <v>3</v>
      </c>
      <c r="J1296">
        <v>21767.77</v>
      </c>
      <c r="K1296">
        <v>0.1</v>
      </c>
      <c r="L1296">
        <v>3773.13</v>
      </c>
      <c r="M1296" s="1" t="s">
        <v>28</v>
      </c>
    </row>
    <row r="1297" spans="1:13" x14ac:dyDescent="0.3">
      <c r="A1297" s="1" t="s">
        <v>2105</v>
      </c>
      <c r="B1297" s="2">
        <v>45776</v>
      </c>
      <c r="C1297" s="1" t="s">
        <v>352</v>
      </c>
      <c r="D1297" s="1" t="s">
        <v>353</v>
      </c>
      <c r="E1297" s="1" t="s">
        <v>43</v>
      </c>
      <c r="F1297" s="1" t="s">
        <v>25</v>
      </c>
      <c r="G1297" s="1" t="s">
        <v>26</v>
      </c>
      <c r="H1297" s="1" t="s">
        <v>86</v>
      </c>
      <c r="I1297">
        <v>7</v>
      </c>
      <c r="J1297">
        <v>21640.66</v>
      </c>
      <c r="K1297">
        <v>0.15</v>
      </c>
      <c r="L1297">
        <v>6103.88</v>
      </c>
      <c r="M1297" s="1" t="s">
        <v>55</v>
      </c>
    </row>
    <row r="1298" spans="1:13" x14ac:dyDescent="0.3">
      <c r="A1298" s="1" t="s">
        <v>2106</v>
      </c>
      <c r="B1298" s="2">
        <v>45677</v>
      </c>
      <c r="C1298" s="1" t="s">
        <v>764</v>
      </c>
      <c r="D1298" s="1" t="s">
        <v>765</v>
      </c>
      <c r="E1298" s="1" t="s">
        <v>74</v>
      </c>
      <c r="F1298" s="1" t="s">
        <v>69</v>
      </c>
      <c r="G1298" s="1" t="s">
        <v>32</v>
      </c>
      <c r="H1298" s="1" t="s">
        <v>79</v>
      </c>
      <c r="I1298">
        <v>8</v>
      </c>
      <c r="J1298">
        <v>110213.47</v>
      </c>
      <c r="K1298">
        <v>0.2</v>
      </c>
      <c r="L1298">
        <v>20237.11</v>
      </c>
      <c r="M1298" s="1" t="s">
        <v>28</v>
      </c>
    </row>
    <row r="1299" spans="1:13" x14ac:dyDescent="0.3">
      <c r="A1299" s="1" t="s">
        <v>2107</v>
      </c>
      <c r="B1299" s="2">
        <v>45918</v>
      </c>
      <c r="C1299" s="1" t="s">
        <v>202</v>
      </c>
      <c r="D1299" s="1" t="s">
        <v>203</v>
      </c>
      <c r="E1299" s="1" t="s">
        <v>37</v>
      </c>
      <c r="F1299" s="1" t="s">
        <v>69</v>
      </c>
      <c r="G1299" s="1" t="s">
        <v>18</v>
      </c>
      <c r="H1299" s="1" t="s">
        <v>141</v>
      </c>
      <c r="I1299">
        <v>3</v>
      </c>
      <c r="J1299">
        <v>6031.62</v>
      </c>
      <c r="K1299">
        <v>0.1</v>
      </c>
      <c r="L1299">
        <v>1976.52</v>
      </c>
      <c r="M1299" s="1" t="s">
        <v>28</v>
      </c>
    </row>
    <row r="1300" spans="1:13" x14ac:dyDescent="0.3">
      <c r="A1300" s="1" t="s">
        <v>2108</v>
      </c>
      <c r="B1300" s="2">
        <v>45950</v>
      </c>
      <c r="C1300" s="1" t="s">
        <v>2046</v>
      </c>
      <c r="D1300" s="1" t="s">
        <v>2047</v>
      </c>
      <c r="E1300" s="1" t="s">
        <v>37</v>
      </c>
      <c r="F1300" s="1" t="s">
        <v>69</v>
      </c>
      <c r="G1300" s="1" t="s">
        <v>44</v>
      </c>
      <c r="H1300" s="1" t="s">
        <v>90</v>
      </c>
      <c r="I1300">
        <v>7</v>
      </c>
      <c r="J1300">
        <v>58426.17</v>
      </c>
      <c r="K1300">
        <v>0.05</v>
      </c>
      <c r="L1300">
        <v>10111.85</v>
      </c>
      <c r="M1300" s="1" t="s">
        <v>55</v>
      </c>
    </row>
    <row r="1301" spans="1:13" x14ac:dyDescent="0.3">
      <c r="A1301" s="1" t="s">
        <v>2109</v>
      </c>
      <c r="B1301" s="2">
        <v>45913</v>
      </c>
      <c r="C1301" s="1" t="s">
        <v>1119</v>
      </c>
      <c r="D1301" s="1" t="s">
        <v>1120</v>
      </c>
      <c r="E1301" s="1" t="s">
        <v>37</v>
      </c>
      <c r="F1301" s="1" t="s">
        <v>25</v>
      </c>
      <c r="G1301" s="1" t="s">
        <v>44</v>
      </c>
      <c r="H1301" s="1" t="s">
        <v>155</v>
      </c>
      <c r="I1301">
        <v>8</v>
      </c>
      <c r="J1301">
        <v>109911.03</v>
      </c>
      <c r="K1301">
        <v>0</v>
      </c>
      <c r="L1301">
        <v>19486.28</v>
      </c>
      <c r="M1301" s="1" t="s">
        <v>20</v>
      </c>
    </row>
    <row r="1302" spans="1:13" x14ac:dyDescent="0.3">
      <c r="A1302" s="1" t="s">
        <v>2110</v>
      </c>
      <c r="B1302" s="2">
        <v>45879</v>
      </c>
      <c r="C1302" s="1" t="s">
        <v>494</v>
      </c>
      <c r="D1302" s="1" t="s">
        <v>495</v>
      </c>
      <c r="E1302" s="1" t="s">
        <v>16</v>
      </c>
      <c r="F1302" s="1" t="s">
        <v>25</v>
      </c>
      <c r="G1302" s="1" t="s">
        <v>44</v>
      </c>
      <c r="H1302" s="1" t="s">
        <v>75</v>
      </c>
      <c r="I1302">
        <v>7</v>
      </c>
      <c r="J1302">
        <v>66944.75</v>
      </c>
      <c r="K1302">
        <v>0.25</v>
      </c>
      <c r="L1302">
        <v>11561.13</v>
      </c>
      <c r="M1302" s="1" t="s">
        <v>55</v>
      </c>
    </row>
    <row r="1303" spans="1:13" x14ac:dyDescent="0.3">
      <c r="A1303" s="1" t="s">
        <v>2111</v>
      </c>
      <c r="B1303" s="2">
        <v>45883</v>
      </c>
      <c r="C1303" s="1" t="s">
        <v>739</v>
      </c>
      <c r="D1303" s="1" t="s">
        <v>740</v>
      </c>
      <c r="E1303" s="1" t="s">
        <v>24</v>
      </c>
      <c r="F1303" s="1" t="s">
        <v>69</v>
      </c>
      <c r="G1303" s="1" t="s">
        <v>32</v>
      </c>
      <c r="H1303" s="1" t="s">
        <v>33</v>
      </c>
      <c r="I1303">
        <v>10</v>
      </c>
      <c r="J1303">
        <v>83163.960000000006</v>
      </c>
      <c r="K1303">
        <v>0.15</v>
      </c>
      <c r="L1303">
        <v>19131.5</v>
      </c>
      <c r="M1303" s="1" t="s">
        <v>28</v>
      </c>
    </row>
    <row r="1304" spans="1:13" x14ac:dyDescent="0.3">
      <c r="A1304" s="1" t="s">
        <v>2112</v>
      </c>
      <c r="B1304" s="2">
        <v>45710</v>
      </c>
      <c r="C1304" s="1" t="s">
        <v>510</v>
      </c>
      <c r="D1304" s="1" t="s">
        <v>511</v>
      </c>
      <c r="E1304" s="1" t="s">
        <v>16</v>
      </c>
      <c r="F1304" s="1" t="s">
        <v>69</v>
      </c>
      <c r="G1304" s="1" t="s">
        <v>26</v>
      </c>
      <c r="H1304" s="1" t="s">
        <v>231</v>
      </c>
      <c r="I1304">
        <v>4</v>
      </c>
      <c r="J1304">
        <v>12355.81</v>
      </c>
      <c r="K1304">
        <v>0.2</v>
      </c>
      <c r="L1304">
        <v>2966.13</v>
      </c>
      <c r="M1304" s="1" t="s">
        <v>28</v>
      </c>
    </row>
    <row r="1305" spans="1:13" x14ac:dyDescent="0.3">
      <c r="A1305" s="1" t="s">
        <v>2113</v>
      </c>
      <c r="B1305" s="2">
        <v>46012</v>
      </c>
      <c r="C1305" s="1" t="s">
        <v>2114</v>
      </c>
      <c r="D1305" s="1" t="s">
        <v>2115</v>
      </c>
      <c r="E1305" s="1" t="s">
        <v>24</v>
      </c>
      <c r="F1305" s="1" t="s">
        <v>69</v>
      </c>
      <c r="G1305" s="1" t="s">
        <v>32</v>
      </c>
      <c r="H1305" s="1" t="s">
        <v>79</v>
      </c>
      <c r="I1305">
        <v>4</v>
      </c>
      <c r="J1305">
        <v>35261.69</v>
      </c>
      <c r="K1305">
        <v>0.1</v>
      </c>
      <c r="L1305">
        <v>6976.5</v>
      </c>
      <c r="M1305" s="1" t="s">
        <v>39</v>
      </c>
    </row>
    <row r="1306" spans="1:13" x14ac:dyDescent="0.3">
      <c r="A1306" s="1" t="s">
        <v>2116</v>
      </c>
      <c r="B1306" s="2">
        <v>45999</v>
      </c>
      <c r="C1306" s="1" t="s">
        <v>150</v>
      </c>
      <c r="D1306" s="1" t="s">
        <v>151</v>
      </c>
      <c r="E1306" s="1" t="s">
        <v>24</v>
      </c>
      <c r="F1306" s="1" t="s">
        <v>25</v>
      </c>
      <c r="G1306" s="1" t="s">
        <v>26</v>
      </c>
      <c r="H1306" s="1" t="s">
        <v>27</v>
      </c>
      <c r="I1306">
        <v>7</v>
      </c>
      <c r="J1306">
        <v>28765.26</v>
      </c>
      <c r="K1306">
        <v>0.1</v>
      </c>
      <c r="L1306">
        <v>6714.43</v>
      </c>
      <c r="M1306" s="1" t="s">
        <v>28</v>
      </c>
    </row>
    <row r="1307" spans="1:13" x14ac:dyDescent="0.3">
      <c r="A1307" s="1" t="s">
        <v>2117</v>
      </c>
      <c r="B1307" s="2">
        <v>46021</v>
      </c>
      <c r="C1307" s="1" t="s">
        <v>1934</v>
      </c>
      <c r="D1307" s="1" t="s">
        <v>1935</v>
      </c>
      <c r="E1307" s="1" t="s">
        <v>43</v>
      </c>
      <c r="F1307" s="1" t="s">
        <v>69</v>
      </c>
      <c r="G1307" s="1" t="s">
        <v>26</v>
      </c>
      <c r="H1307" s="1" t="s">
        <v>231</v>
      </c>
      <c r="I1307">
        <v>6</v>
      </c>
      <c r="J1307">
        <v>21335.16</v>
      </c>
      <c r="K1307">
        <v>0.25</v>
      </c>
      <c r="L1307">
        <v>5933.56</v>
      </c>
      <c r="M1307" s="1" t="s">
        <v>28</v>
      </c>
    </row>
    <row r="1308" spans="1:13" x14ac:dyDescent="0.3">
      <c r="A1308" s="1" t="s">
        <v>2118</v>
      </c>
      <c r="B1308" s="2">
        <v>45937</v>
      </c>
      <c r="C1308" s="1" t="s">
        <v>713</v>
      </c>
      <c r="D1308" s="1" t="s">
        <v>714</v>
      </c>
      <c r="E1308" s="1" t="s">
        <v>37</v>
      </c>
      <c r="F1308" s="1" t="s">
        <v>25</v>
      </c>
      <c r="G1308" s="1" t="s">
        <v>26</v>
      </c>
      <c r="H1308" s="1" t="s">
        <v>244</v>
      </c>
      <c r="I1308">
        <v>9</v>
      </c>
      <c r="J1308">
        <v>30282.7</v>
      </c>
      <c r="K1308">
        <v>0.05</v>
      </c>
      <c r="L1308">
        <v>8980.39</v>
      </c>
      <c r="M1308" s="1" t="s">
        <v>55</v>
      </c>
    </row>
    <row r="1309" spans="1:13" x14ac:dyDescent="0.3">
      <c r="A1309" s="1" t="s">
        <v>2119</v>
      </c>
      <c r="B1309" s="2">
        <v>45738</v>
      </c>
      <c r="C1309" s="1" t="s">
        <v>181</v>
      </c>
      <c r="D1309" s="1" t="s">
        <v>182</v>
      </c>
      <c r="E1309" s="1" t="s">
        <v>43</v>
      </c>
      <c r="F1309" s="1" t="s">
        <v>69</v>
      </c>
      <c r="G1309" s="1" t="s">
        <v>18</v>
      </c>
      <c r="H1309" s="1" t="s">
        <v>122</v>
      </c>
      <c r="I1309">
        <v>2</v>
      </c>
      <c r="J1309">
        <v>2741.35</v>
      </c>
      <c r="K1309">
        <v>0.1</v>
      </c>
      <c r="L1309">
        <v>868.08</v>
      </c>
      <c r="M1309" s="1" t="s">
        <v>20</v>
      </c>
    </row>
    <row r="1310" spans="1:13" x14ac:dyDescent="0.3">
      <c r="A1310" s="1" t="s">
        <v>2120</v>
      </c>
      <c r="B1310" s="2">
        <v>45859</v>
      </c>
      <c r="C1310" s="1" t="s">
        <v>980</v>
      </c>
      <c r="D1310" s="1" t="s">
        <v>981</v>
      </c>
      <c r="E1310" s="1" t="s">
        <v>24</v>
      </c>
      <c r="F1310" s="1" t="s">
        <v>25</v>
      </c>
      <c r="G1310" s="1" t="s">
        <v>26</v>
      </c>
      <c r="H1310" s="1" t="s">
        <v>49</v>
      </c>
      <c r="I1310">
        <v>2</v>
      </c>
      <c r="J1310">
        <v>8179.89</v>
      </c>
      <c r="K1310">
        <v>0.15</v>
      </c>
      <c r="L1310">
        <v>2175.79</v>
      </c>
      <c r="M1310" s="1" t="s">
        <v>55</v>
      </c>
    </row>
    <row r="1311" spans="1:13" x14ac:dyDescent="0.3">
      <c r="A1311" s="1" t="s">
        <v>2121</v>
      </c>
      <c r="B1311" s="2">
        <v>45815</v>
      </c>
      <c r="C1311" s="1" t="s">
        <v>604</v>
      </c>
      <c r="D1311" s="1" t="s">
        <v>605</v>
      </c>
      <c r="E1311" s="1" t="s">
        <v>43</v>
      </c>
      <c r="F1311" s="1" t="s">
        <v>25</v>
      </c>
      <c r="G1311" s="1" t="s">
        <v>32</v>
      </c>
      <c r="H1311" s="1" t="s">
        <v>38</v>
      </c>
      <c r="I1311">
        <v>1</v>
      </c>
      <c r="J1311">
        <v>15948.78</v>
      </c>
      <c r="K1311">
        <v>0.2</v>
      </c>
      <c r="L1311">
        <v>2728.78</v>
      </c>
      <c r="M1311" s="1" t="s">
        <v>20</v>
      </c>
    </row>
    <row r="1312" spans="1:13" x14ac:dyDescent="0.3">
      <c r="A1312" s="1" t="s">
        <v>2122</v>
      </c>
      <c r="B1312" s="2">
        <v>45777</v>
      </c>
      <c r="C1312" s="1" t="s">
        <v>1116</v>
      </c>
      <c r="D1312" s="1" t="s">
        <v>1117</v>
      </c>
      <c r="E1312" s="1" t="s">
        <v>74</v>
      </c>
      <c r="F1312" s="1" t="s">
        <v>17</v>
      </c>
      <c r="G1312" s="1" t="s">
        <v>32</v>
      </c>
      <c r="H1312" s="1" t="s">
        <v>79</v>
      </c>
      <c r="I1312">
        <v>9</v>
      </c>
      <c r="J1312">
        <v>113342.92</v>
      </c>
      <c r="K1312">
        <v>0.2</v>
      </c>
      <c r="L1312">
        <v>28180.560000000001</v>
      </c>
      <c r="M1312" s="1" t="s">
        <v>20</v>
      </c>
    </row>
    <row r="1313" spans="1:13" x14ac:dyDescent="0.3">
      <c r="A1313" s="1" t="s">
        <v>2123</v>
      </c>
      <c r="B1313" s="2">
        <v>45716</v>
      </c>
      <c r="C1313" s="1" t="s">
        <v>57</v>
      </c>
      <c r="D1313" s="1" t="s">
        <v>58</v>
      </c>
      <c r="E1313" s="1" t="s">
        <v>43</v>
      </c>
      <c r="F1313" s="1" t="s">
        <v>17</v>
      </c>
      <c r="G1313" s="1" t="s">
        <v>18</v>
      </c>
      <c r="H1313" s="1" t="s">
        <v>122</v>
      </c>
      <c r="I1313">
        <v>9</v>
      </c>
      <c r="J1313">
        <v>20405.349999999999</v>
      </c>
      <c r="K1313">
        <v>0.1</v>
      </c>
      <c r="L1313">
        <v>5484.07</v>
      </c>
      <c r="M1313" s="1" t="s">
        <v>50</v>
      </c>
    </row>
    <row r="1314" spans="1:13" x14ac:dyDescent="0.3">
      <c r="A1314" s="1" t="s">
        <v>2124</v>
      </c>
      <c r="B1314" s="2">
        <v>45872</v>
      </c>
      <c r="C1314" s="1" t="s">
        <v>1567</v>
      </c>
      <c r="D1314" s="1" t="s">
        <v>1568</v>
      </c>
      <c r="E1314" s="1" t="s">
        <v>74</v>
      </c>
      <c r="F1314" s="1" t="s">
        <v>69</v>
      </c>
      <c r="G1314" s="1" t="s">
        <v>32</v>
      </c>
      <c r="H1314" s="1" t="s">
        <v>59</v>
      </c>
      <c r="I1314">
        <v>5</v>
      </c>
      <c r="J1314">
        <v>93837.3</v>
      </c>
      <c r="K1314">
        <v>0.1</v>
      </c>
      <c r="L1314">
        <v>19315.169999999998</v>
      </c>
      <c r="M1314" s="1" t="s">
        <v>55</v>
      </c>
    </row>
    <row r="1315" spans="1:13" x14ac:dyDescent="0.3">
      <c r="A1315" s="1" t="s">
        <v>2125</v>
      </c>
      <c r="B1315" s="2">
        <v>45785</v>
      </c>
      <c r="C1315" s="1" t="s">
        <v>485</v>
      </c>
      <c r="D1315" s="1" t="s">
        <v>486</v>
      </c>
      <c r="E1315" s="1" t="s">
        <v>24</v>
      </c>
      <c r="F1315" s="1" t="s">
        <v>69</v>
      </c>
      <c r="G1315" s="1" t="s">
        <v>18</v>
      </c>
      <c r="H1315" s="1" t="s">
        <v>19</v>
      </c>
      <c r="I1315">
        <v>7</v>
      </c>
      <c r="J1315">
        <v>12289.39</v>
      </c>
      <c r="K1315">
        <v>0.1</v>
      </c>
      <c r="L1315">
        <v>3635.14</v>
      </c>
      <c r="M1315" s="1" t="s">
        <v>50</v>
      </c>
    </row>
    <row r="1316" spans="1:13" x14ac:dyDescent="0.3">
      <c r="A1316" s="1" t="s">
        <v>2126</v>
      </c>
      <c r="B1316" s="2">
        <v>45881</v>
      </c>
      <c r="C1316" s="1" t="s">
        <v>92</v>
      </c>
      <c r="D1316" s="1" t="s">
        <v>93</v>
      </c>
      <c r="E1316" s="1" t="s">
        <v>24</v>
      </c>
      <c r="F1316" s="1" t="s">
        <v>17</v>
      </c>
      <c r="G1316" s="1" t="s">
        <v>18</v>
      </c>
      <c r="H1316" s="1" t="s">
        <v>122</v>
      </c>
      <c r="I1316">
        <v>9</v>
      </c>
      <c r="J1316">
        <v>18955.490000000002</v>
      </c>
      <c r="K1316">
        <v>0.05</v>
      </c>
      <c r="L1316">
        <v>4569.1899999999996</v>
      </c>
      <c r="M1316" s="1" t="s">
        <v>20</v>
      </c>
    </row>
    <row r="1317" spans="1:13" x14ac:dyDescent="0.3">
      <c r="A1317" s="1" t="s">
        <v>2127</v>
      </c>
      <c r="B1317" s="2">
        <v>45866</v>
      </c>
      <c r="C1317" s="1" t="s">
        <v>1455</v>
      </c>
      <c r="D1317" s="1" t="s">
        <v>1456</v>
      </c>
      <c r="E1317" s="1" t="s">
        <v>74</v>
      </c>
      <c r="F1317" s="1" t="s">
        <v>25</v>
      </c>
      <c r="G1317" s="1" t="s">
        <v>44</v>
      </c>
      <c r="H1317" s="1" t="s">
        <v>45</v>
      </c>
      <c r="I1317">
        <v>4</v>
      </c>
      <c r="J1317">
        <v>22090.23</v>
      </c>
      <c r="K1317">
        <v>0</v>
      </c>
      <c r="L1317">
        <v>3560.7</v>
      </c>
      <c r="M1317" s="1" t="s">
        <v>55</v>
      </c>
    </row>
    <row r="1318" spans="1:13" x14ac:dyDescent="0.3">
      <c r="A1318" s="1" t="s">
        <v>2128</v>
      </c>
      <c r="B1318" s="2">
        <v>45772</v>
      </c>
      <c r="C1318" s="1" t="s">
        <v>943</v>
      </c>
      <c r="D1318" s="1" t="s">
        <v>944</v>
      </c>
      <c r="E1318" s="1" t="s">
        <v>24</v>
      </c>
      <c r="F1318" s="1" t="s">
        <v>69</v>
      </c>
      <c r="G1318" s="1" t="s">
        <v>32</v>
      </c>
      <c r="H1318" s="1" t="s">
        <v>33</v>
      </c>
      <c r="I1318">
        <v>5</v>
      </c>
      <c r="J1318">
        <v>32347.27</v>
      </c>
      <c r="K1318">
        <v>0.2</v>
      </c>
      <c r="L1318">
        <v>6144.24</v>
      </c>
      <c r="M1318" s="1" t="s">
        <v>28</v>
      </c>
    </row>
    <row r="1319" spans="1:13" x14ac:dyDescent="0.3">
      <c r="A1319" s="1" t="s">
        <v>2129</v>
      </c>
      <c r="B1319" s="2">
        <v>45866</v>
      </c>
      <c r="C1319" s="1" t="s">
        <v>901</v>
      </c>
      <c r="D1319" s="1" t="s">
        <v>902</v>
      </c>
      <c r="E1319" s="1" t="s">
        <v>24</v>
      </c>
      <c r="F1319" s="1" t="s">
        <v>17</v>
      </c>
      <c r="G1319" s="1" t="s">
        <v>32</v>
      </c>
      <c r="H1319" s="1" t="s">
        <v>54</v>
      </c>
      <c r="I1319">
        <v>6</v>
      </c>
      <c r="J1319">
        <v>113168.25</v>
      </c>
      <c r="K1319">
        <v>0.05</v>
      </c>
      <c r="L1319">
        <v>26401.38</v>
      </c>
      <c r="M1319" s="1" t="s">
        <v>50</v>
      </c>
    </row>
    <row r="1320" spans="1:13" x14ac:dyDescent="0.3">
      <c r="A1320" s="1" t="s">
        <v>2130</v>
      </c>
      <c r="B1320" s="2">
        <v>45671</v>
      </c>
      <c r="C1320" s="1" t="s">
        <v>2131</v>
      </c>
      <c r="D1320" s="1" t="s">
        <v>2132</v>
      </c>
      <c r="E1320" s="1" t="s">
        <v>24</v>
      </c>
      <c r="F1320" s="1" t="s">
        <v>25</v>
      </c>
      <c r="G1320" s="1" t="s">
        <v>32</v>
      </c>
      <c r="H1320" s="1" t="s">
        <v>59</v>
      </c>
      <c r="I1320">
        <v>2</v>
      </c>
      <c r="J1320">
        <v>20208.47</v>
      </c>
      <c r="K1320">
        <v>0</v>
      </c>
      <c r="L1320">
        <v>4332.05</v>
      </c>
      <c r="M1320" s="1" t="s">
        <v>20</v>
      </c>
    </row>
    <row r="1321" spans="1:13" x14ac:dyDescent="0.3">
      <c r="A1321" s="1" t="s">
        <v>2133</v>
      </c>
      <c r="B1321" s="2">
        <v>45666</v>
      </c>
      <c r="C1321" s="1" t="s">
        <v>427</v>
      </c>
      <c r="D1321" s="1" t="s">
        <v>428</v>
      </c>
      <c r="E1321" s="1" t="s">
        <v>16</v>
      </c>
      <c r="F1321" s="1" t="s">
        <v>25</v>
      </c>
      <c r="G1321" s="1" t="s">
        <v>32</v>
      </c>
      <c r="H1321" s="1" t="s">
        <v>38</v>
      </c>
      <c r="I1321">
        <v>3</v>
      </c>
      <c r="J1321">
        <v>55138.59</v>
      </c>
      <c r="K1321">
        <v>0.1</v>
      </c>
      <c r="L1321">
        <v>9786.7900000000009</v>
      </c>
      <c r="M1321" s="1" t="s">
        <v>28</v>
      </c>
    </row>
    <row r="1322" spans="1:13" x14ac:dyDescent="0.3">
      <c r="A1322" s="1" t="s">
        <v>2134</v>
      </c>
      <c r="B1322" s="2">
        <v>45697</v>
      </c>
      <c r="C1322" s="1" t="s">
        <v>671</v>
      </c>
      <c r="D1322" s="1" t="s">
        <v>672</v>
      </c>
      <c r="E1322" s="1" t="s">
        <v>16</v>
      </c>
      <c r="F1322" s="1" t="s">
        <v>69</v>
      </c>
      <c r="G1322" s="1" t="s">
        <v>18</v>
      </c>
      <c r="H1322" s="1" t="s">
        <v>97</v>
      </c>
      <c r="I1322">
        <v>4</v>
      </c>
      <c r="J1322">
        <v>6598.49</v>
      </c>
      <c r="K1322">
        <v>0</v>
      </c>
      <c r="L1322">
        <v>2160.5500000000002</v>
      </c>
      <c r="M1322" s="1" t="s">
        <v>28</v>
      </c>
    </row>
    <row r="1323" spans="1:13" x14ac:dyDescent="0.3">
      <c r="A1323" s="1" t="s">
        <v>2135</v>
      </c>
      <c r="B1323" s="2">
        <v>45894</v>
      </c>
      <c r="C1323" s="1" t="s">
        <v>211</v>
      </c>
      <c r="D1323" s="1" t="s">
        <v>212</v>
      </c>
      <c r="E1323" s="1" t="s">
        <v>43</v>
      </c>
      <c r="F1323" s="1" t="s">
        <v>25</v>
      </c>
      <c r="G1323" s="1" t="s">
        <v>26</v>
      </c>
      <c r="H1323" s="1" t="s">
        <v>27</v>
      </c>
      <c r="I1323">
        <v>6</v>
      </c>
      <c r="J1323">
        <v>22039.78</v>
      </c>
      <c r="K1323">
        <v>0.25</v>
      </c>
      <c r="L1323">
        <v>4762.66</v>
      </c>
      <c r="M1323" s="1" t="s">
        <v>28</v>
      </c>
    </row>
    <row r="1324" spans="1:13" x14ac:dyDescent="0.3">
      <c r="A1324" s="1" t="s">
        <v>2136</v>
      </c>
      <c r="B1324" s="2">
        <v>45938</v>
      </c>
      <c r="C1324" s="1" t="s">
        <v>463</v>
      </c>
      <c r="D1324" s="1" t="s">
        <v>464</v>
      </c>
      <c r="E1324" s="1" t="s">
        <v>74</v>
      </c>
      <c r="F1324" s="1" t="s">
        <v>69</v>
      </c>
      <c r="G1324" s="1" t="s">
        <v>18</v>
      </c>
      <c r="H1324" s="1" t="s">
        <v>145</v>
      </c>
      <c r="I1324">
        <v>5</v>
      </c>
      <c r="J1324">
        <v>6666.37</v>
      </c>
      <c r="K1324">
        <v>0.15</v>
      </c>
      <c r="L1324">
        <v>2173.37</v>
      </c>
      <c r="M1324" s="1" t="s">
        <v>28</v>
      </c>
    </row>
    <row r="1325" spans="1:13" x14ac:dyDescent="0.3">
      <c r="A1325" s="1" t="s">
        <v>2137</v>
      </c>
      <c r="B1325" s="2">
        <v>46016</v>
      </c>
      <c r="C1325" s="1" t="s">
        <v>1883</v>
      </c>
      <c r="D1325" s="1" t="s">
        <v>1884</v>
      </c>
      <c r="E1325" s="1" t="s">
        <v>37</v>
      </c>
      <c r="F1325" s="1" t="s">
        <v>17</v>
      </c>
      <c r="G1325" s="1" t="s">
        <v>32</v>
      </c>
      <c r="H1325" s="1" t="s">
        <v>59</v>
      </c>
      <c r="I1325">
        <v>7</v>
      </c>
      <c r="J1325">
        <v>108076.28</v>
      </c>
      <c r="K1325">
        <v>0.1</v>
      </c>
      <c r="L1325">
        <v>18410.91</v>
      </c>
      <c r="M1325" s="1" t="s">
        <v>28</v>
      </c>
    </row>
    <row r="1326" spans="1:13" x14ac:dyDescent="0.3">
      <c r="A1326" s="1" t="s">
        <v>2138</v>
      </c>
      <c r="B1326" s="2">
        <v>45858</v>
      </c>
      <c r="C1326" s="1" t="s">
        <v>294</v>
      </c>
      <c r="D1326" s="1" t="s">
        <v>295</v>
      </c>
      <c r="E1326" s="1" t="s">
        <v>43</v>
      </c>
      <c r="F1326" s="1" t="s">
        <v>25</v>
      </c>
      <c r="G1326" s="1" t="s">
        <v>32</v>
      </c>
      <c r="H1326" s="1" t="s">
        <v>79</v>
      </c>
      <c r="I1326">
        <v>5</v>
      </c>
      <c r="J1326">
        <v>57334.13</v>
      </c>
      <c r="K1326">
        <v>0.1</v>
      </c>
      <c r="L1326">
        <v>10313.64</v>
      </c>
      <c r="M1326" s="1" t="s">
        <v>28</v>
      </c>
    </row>
    <row r="1327" spans="1:13" x14ac:dyDescent="0.3">
      <c r="A1327" s="1" t="s">
        <v>2139</v>
      </c>
      <c r="B1327" s="2">
        <v>45903</v>
      </c>
      <c r="C1327" s="1" t="s">
        <v>485</v>
      </c>
      <c r="D1327" s="1" t="s">
        <v>486</v>
      </c>
      <c r="E1327" s="1" t="s">
        <v>24</v>
      </c>
      <c r="F1327" s="1" t="s">
        <v>69</v>
      </c>
      <c r="G1327" s="1" t="s">
        <v>44</v>
      </c>
      <c r="H1327" s="1" t="s">
        <v>45</v>
      </c>
      <c r="I1327">
        <v>4</v>
      </c>
      <c r="J1327">
        <v>31579.48</v>
      </c>
      <c r="K1327">
        <v>0.15</v>
      </c>
      <c r="L1327">
        <v>7116.66</v>
      </c>
      <c r="M1327" s="1" t="s">
        <v>20</v>
      </c>
    </row>
    <row r="1328" spans="1:13" x14ac:dyDescent="0.3">
      <c r="A1328" s="1" t="s">
        <v>2140</v>
      </c>
      <c r="B1328" s="2">
        <v>45935</v>
      </c>
      <c r="C1328" s="1" t="s">
        <v>961</v>
      </c>
      <c r="D1328" s="1" t="s">
        <v>962</v>
      </c>
      <c r="E1328" s="1" t="s">
        <v>43</v>
      </c>
      <c r="F1328" s="1" t="s">
        <v>69</v>
      </c>
      <c r="G1328" s="1" t="s">
        <v>18</v>
      </c>
      <c r="H1328" s="1" t="s">
        <v>141</v>
      </c>
      <c r="I1328">
        <v>5</v>
      </c>
      <c r="J1328">
        <v>11968.87</v>
      </c>
      <c r="K1328">
        <v>0.1</v>
      </c>
      <c r="L1328">
        <v>3948.34</v>
      </c>
      <c r="M1328" s="1" t="s">
        <v>50</v>
      </c>
    </row>
    <row r="1329" spans="1:13" x14ac:dyDescent="0.3">
      <c r="A1329" s="1" t="s">
        <v>2141</v>
      </c>
      <c r="B1329" s="2">
        <v>45892</v>
      </c>
      <c r="C1329" s="1" t="s">
        <v>679</v>
      </c>
      <c r="D1329" s="1" t="s">
        <v>680</v>
      </c>
      <c r="E1329" s="1" t="s">
        <v>37</v>
      </c>
      <c r="F1329" s="1" t="s">
        <v>25</v>
      </c>
      <c r="G1329" s="1" t="s">
        <v>32</v>
      </c>
      <c r="H1329" s="1" t="s">
        <v>38</v>
      </c>
      <c r="I1329">
        <v>4</v>
      </c>
      <c r="J1329">
        <v>56821.440000000002</v>
      </c>
      <c r="K1329">
        <v>0.1</v>
      </c>
      <c r="L1329">
        <v>10601.78</v>
      </c>
      <c r="M1329" s="1" t="s">
        <v>28</v>
      </c>
    </row>
    <row r="1330" spans="1:13" x14ac:dyDescent="0.3">
      <c r="A1330" s="1" t="s">
        <v>2142</v>
      </c>
      <c r="B1330" s="2">
        <v>45661</v>
      </c>
      <c r="C1330" s="1" t="s">
        <v>217</v>
      </c>
      <c r="D1330" s="1" t="s">
        <v>218</v>
      </c>
      <c r="E1330" s="1" t="s">
        <v>37</v>
      </c>
      <c r="F1330" s="1" t="s">
        <v>69</v>
      </c>
      <c r="G1330" s="1" t="s">
        <v>44</v>
      </c>
      <c r="H1330" s="1" t="s">
        <v>90</v>
      </c>
      <c r="I1330">
        <v>8</v>
      </c>
      <c r="J1330">
        <v>83751.77</v>
      </c>
      <c r="K1330">
        <v>0.1</v>
      </c>
      <c r="L1330">
        <v>18110.32</v>
      </c>
      <c r="M1330" s="1" t="s">
        <v>28</v>
      </c>
    </row>
    <row r="1331" spans="1:13" x14ac:dyDescent="0.3">
      <c r="A1331" s="1" t="s">
        <v>2143</v>
      </c>
      <c r="B1331" s="2">
        <v>45811</v>
      </c>
      <c r="C1331" s="1" t="s">
        <v>783</v>
      </c>
      <c r="D1331" s="1" t="s">
        <v>784</v>
      </c>
      <c r="E1331" s="1" t="s">
        <v>43</v>
      </c>
      <c r="F1331" s="1" t="s">
        <v>17</v>
      </c>
      <c r="G1331" s="1" t="s">
        <v>18</v>
      </c>
      <c r="H1331" s="1" t="s">
        <v>122</v>
      </c>
      <c r="I1331">
        <v>10</v>
      </c>
      <c r="J1331">
        <v>21250.3</v>
      </c>
      <c r="K1331">
        <v>0.05</v>
      </c>
      <c r="L1331">
        <v>5644.86</v>
      </c>
      <c r="M1331" s="1" t="s">
        <v>28</v>
      </c>
    </row>
    <row r="1332" spans="1:13" x14ac:dyDescent="0.3">
      <c r="A1332" s="1" t="s">
        <v>2144</v>
      </c>
      <c r="B1332" s="2">
        <v>45686</v>
      </c>
      <c r="C1332" s="1" t="s">
        <v>853</v>
      </c>
      <c r="D1332" s="1" t="s">
        <v>854</v>
      </c>
      <c r="E1332" s="1" t="s">
        <v>43</v>
      </c>
      <c r="F1332" s="1" t="s">
        <v>25</v>
      </c>
      <c r="G1332" s="1" t="s">
        <v>26</v>
      </c>
      <c r="H1332" s="1" t="s">
        <v>244</v>
      </c>
      <c r="I1332">
        <v>6</v>
      </c>
      <c r="J1332">
        <v>20911.18</v>
      </c>
      <c r="K1332">
        <v>0.05</v>
      </c>
      <c r="L1332">
        <v>4711.29</v>
      </c>
      <c r="M1332" s="1" t="s">
        <v>39</v>
      </c>
    </row>
    <row r="1333" spans="1:13" x14ac:dyDescent="0.3">
      <c r="A1333" s="1" t="s">
        <v>2145</v>
      </c>
      <c r="B1333" s="2">
        <v>45766</v>
      </c>
      <c r="C1333" s="1" t="s">
        <v>136</v>
      </c>
      <c r="D1333" s="1" t="s">
        <v>137</v>
      </c>
      <c r="E1333" s="1" t="s">
        <v>43</v>
      </c>
      <c r="F1333" s="1" t="s">
        <v>25</v>
      </c>
      <c r="G1333" s="1" t="s">
        <v>26</v>
      </c>
      <c r="H1333" s="1" t="s">
        <v>231</v>
      </c>
      <c r="I1333">
        <v>9</v>
      </c>
      <c r="J1333">
        <v>16514.07</v>
      </c>
      <c r="K1333">
        <v>0.25</v>
      </c>
      <c r="L1333">
        <v>3388.83</v>
      </c>
      <c r="M1333" s="1" t="s">
        <v>55</v>
      </c>
    </row>
    <row r="1334" spans="1:13" x14ac:dyDescent="0.3">
      <c r="A1334" s="1" t="s">
        <v>2146</v>
      </c>
      <c r="B1334" s="2">
        <v>45755</v>
      </c>
      <c r="C1334" s="1" t="s">
        <v>2147</v>
      </c>
      <c r="D1334" s="1" t="s">
        <v>2148</v>
      </c>
      <c r="E1334" s="1" t="s">
        <v>74</v>
      </c>
      <c r="F1334" s="1" t="s">
        <v>25</v>
      </c>
      <c r="G1334" s="1" t="s">
        <v>18</v>
      </c>
      <c r="H1334" s="1" t="s">
        <v>122</v>
      </c>
      <c r="I1334">
        <v>10</v>
      </c>
      <c r="J1334">
        <v>24940.71</v>
      </c>
      <c r="K1334">
        <v>0</v>
      </c>
      <c r="L1334">
        <v>7737.05</v>
      </c>
      <c r="M1334" s="1" t="s">
        <v>39</v>
      </c>
    </row>
    <row r="1335" spans="1:13" x14ac:dyDescent="0.3">
      <c r="A1335" s="1" t="s">
        <v>2149</v>
      </c>
      <c r="B1335" s="2">
        <v>45872</v>
      </c>
      <c r="C1335" s="1" t="s">
        <v>1282</v>
      </c>
      <c r="D1335" s="1" t="s">
        <v>1283</v>
      </c>
      <c r="E1335" s="1" t="s">
        <v>24</v>
      </c>
      <c r="F1335" s="1" t="s">
        <v>25</v>
      </c>
      <c r="G1335" s="1" t="s">
        <v>32</v>
      </c>
      <c r="H1335" s="1" t="s">
        <v>59</v>
      </c>
      <c r="I1335">
        <v>10</v>
      </c>
      <c r="J1335">
        <v>135081.26999999999</v>
      </c>
      <c r="K1335">
        <v>0.1</v>
      </c>
      <c r="L1335">
        <v>30291.24</v>
      </c>
      <c r="M1335" s="1" t="s">
        <v>39</v>
      </c>
    </row>
    <row r="1336" spans="1:13" x14ac:dyDescent="0.3">
      <c r="A1336" s="1" t="s">
        <v>2150</v>
      </c>
      <c r="B1336" s="2">
        <v>45950</v>
      </c>
      <c r="C1336" s="1" t="s">
        <v>719</v>
      </c>
      <c r="D1336" s="1" t="s">
        <v>720</v>
      </c>
      <c r="E1336" s="1" t="s">
        <v>24</v>
      </c>
      <c r="F1336" s="1" t="s">
        <v>25</v>
      </c>
      <c r="G1336" s="1" t="s">
        <v>32</v>
      </c>
      <c r="H1336" s="1" t="s">
        <v>79</v>
      </c>
      <c r="I1336">
        <v>1</v>
      </c>
      <c r="J1336">
        <v>12126.94</v>
      </c>
      <c r="K1336">
        <v>0.05</v>
      </c>
      <c r="L1336">
        <v>3112.73</v>
      </c>
      <c r="M1336" s="1" t="s">
        <v>55</v>
      </c>
    </row>
    <row r="1337" spans="1:13" x14ac:dyDescent="0.3">
      <c r="A1337" s="1" t="s">
        <v>2151</v>
      </c>
      <c r="B1337" s="2">
        <v>45732</v>
      </c>
      <c r="C1337" s="1" t="s">
        <v>1469</v>
      </c>
      <c r="D1337" s="1" t="s">
        <v>1470</v>
      </c>
      <c r="E1337" s="1" t="s">
        <v>43</v>
      </c>
      <c r="F1337" s="1" t="s">
        <v>25</v>
      </c>
      <c r="G1337" s="1" t="s">
        <v>26</v>
      </c>
      <c r="H1337" s="1" t="s">
        <v>244</v>
      </c>
      <c r="I1337">
        <v>2</v>
      </c>
      <c r="J1337">
        <v>4423.92</v>
      </c>
      <c r="K1337">
        <v>0.15</v>
      </c>
      <c r="L1337">
        <v>1184.69</v>
      </c>
      <c r="M1337" s="1" t="s">
        <v>55</v>
      </c>
    </row>
    <row r="1338" spans="1:13" x14ac:dyDescent="0.3">
      <c r="A1338" s="1" t="s">
        <v>2152</v>
      </c>
      <c r="B1338" s="2">
        <v>45983</v>
      </c>
      <c r="C1338" s="1" t="s">
        <v>761</v>
      </c>
      <c r="D1338" s="1" t="s">
        <v>762</v>
      </c>
      <c r="E1338" s="1" t="s">
        <v>74</v>
      </c>
      <c r="F1338" s="1" t="s">
        <v>25</v>
      </c>
      <c r="G1338" s="1" t="s">
        <v>26</v>
      </c>
      <c r="H1338" s="1" t="s">
        <v>231</v>
      </c>
      <c r="I1338">
        <v>1</v>
      </c>
      <c r="J1338">
        <v>2137.96</v>
      </c>
      <c r="K1338">
        <v>0.25</v>
      </c>
      <c r="L1338">
        <v>576.54</v>
      </c>
      <c r="M1338" s="1" t="s">
        <v>55</v>
      </c>
    </row>
    <row r="1339" spans="1:13" x14ac:dyDescent="0.3">
      <c r="A1339" s="1" t="s">
        <v>2153</v>
      </c>
      <c r="B1339" s="2">
        <v>45803</v>
      </c>
      <c r="C1339" s="1" t="s">
        <v>329</v>
      </c>
      <c r="D1339" s="1" t="s">
        <v>330</v>
      </c>
      <c r="E1339" s="1" t="s">
        <v>24</v>
      </c>
      <c r="F1339" s="1" t="s">
        <v>25</v>
      </c>
      <c r="G1339" s="1" t="s">
        <v>18</v>
      </c>
      <c r="H1339" s="1" t="s">
        <v>97</v>
      </c>
      <c r="I1339">
        <v>8</v>
      </c>
      <c r="J1339">
        <v>11704.53</v>
      </c>
      <c r="K1339">
        <v>0</v>
      </c>
      <c r="L1339">
        <v>2694.23</v>
      </c>
      <c r="M1339" s="1" t="s">
        <v>55</v>
      </c>
    </row>
    <row r="1340" spans="1:13" x14ac:dyDescent="0.3">
      <c r="A1340" s="1" t="s">
        <v>2154</v>
      </c>
      <c r="B1340" s="2">
        <v>45785</v>
      </c>
      <c r="C1340" s="1" t="s">
        <v>406</v>
      </c>
      <c r="D1340" s="1" t="s">
        <v>407</v>
      </c>
      <c r="E1340" s="1" t="s">
        <v>16</v>
      </c>
      <c r="F1340" s="1" t="s">
        <v>25</v>
      </c>
      <c r="G1340" s="1" t="s">
        <v>32</v>
      </c>
      <c r="H1340" s="1" t="s">
        <v>79</v>
      </c>
      <c r="I1340">
        <v>4</v>
      </c>
      <c r="J1340">
        <v>66679.850000000006</v>
      </c>
      <c r="K1340">
        <v>0.05</v>
      </c>
      <c r="L1340">
        <v>16392.740000000002</v>
      </c>
      <c r="M1340" s="1" t="s">
        <v>28</v>
      </c>
    </row>
    <row r="1341" spans="1:13" x14ac:dyDescent="0.3">
      <c r="A1341" s="1" t="s">
        <v>2155</v>
      </c>
      <c r="B1341" s="2">
        <v>45998</v>
      </c>
      <c r="C1341" s="1" t="s">
        <v>1612</v>
      </c>
      <c r="D1341" s="1" t="s">
        <v>1613</v>
      </c>
      <c r="E1341" s="1" t="s">
        <v>43</v>
      </c>
      <c r="F1341" s="1" t="s">
        <v>25</v>
      </c>
      <c r="G1341" s="1" t="s">
        <v>18</v>
      </c>
      <c r="H1341" s="1" t="s">
        <v>145</v>
      </c>
      <c r="I1341">
        <v>10</v>
      </c>
      <c r="J1341">
        <v>20133.5</v>
      </c>
      <c r="K1341">
        <v>0.1</v>
      </c>
      <c r="L1341">
        <v>5504.97</v>
      </c>
      <c r="M1341" s="1" t="s">
        <v>55</v>
      </c>
    </row>
    <row r="1342" spans="1:13" x14ac:dyDescent="0.3">
      <c r="A1342" s="1" t="s">
        <v>2156</v>
      </c>
      <c r="B1342" s="2">
        <v>45699</v>
      </c>
      <c r="C1342" s="1" t="s">
        <v>919</v>
      </c>
      <c r="D1342" s="1" t="s">
        <v>920</v>
      </c>
      <c r="E1342" s="1" t="s">
        <v>37</v>
      </c>
      <c r="F1342" s="1" t="s">
        <v>69</v>
      </c>
      <c r="G1342" s="1" t="s">
        <v>26</v>
      </c>
      <c r="H1342" s="1" t="s">
        <v>244</v>
      </c>
      <c r="I1342">
        <v>7</v>
      </c>
      <c r="J1342">
        <v>17081.580000000002</v>
      </c>
      <c r="K1342">
        <v>0.1</v>
      </c>
      <c r="L1342">
        <v>3575.54</v>
      </c>
      <c r="M1342" s="1" t="s">
        <v>28</v>
      </c>
    </row>
    <row r="1343" spans="1:13" x14ac:dyDescent="0.3">
      <c r="A1343" s="1" t="s">
        <v>2157</v>
      </c>
      <c r="B1343" s="2">
        <v>46013</v>
      </c>
      <c r="C1343" s="1" t="s">
        <v>431</v>
      </c>
      <c r="D1343" s="1" t="s">
        <v>432</v>
      </c>
      <c r="E1343" s="1" t="s">
        <v>74</v>
      </c>
      <c r="F1343" s="1" t="s">
        <v>25</v>
      </c>
      <c r="G1343" s="1" t="s">
        <v>32</v>
      </c>
      <c r="H1343" s="1" t="s">
        <v>79</v>
      </c>
      <c r="I1343">
        <v>6</v>
      </c>
      <c r="J1343">
        <v>52795.16</v>
      </c>
      <c r="K1343">
        <v>0.2</v>
      </c>
      <c r="L1343">
        <v>14016.63</v>
      </c>
      <c r="M1343" s="1" t="s">
        <v>39</v>
      </c>
    </row>
    <row r="1344" spans="1:13" x14ac:dyDescent="0.3">
      <c r="A1344" s="1" t="s">
        <v>2158</v>
      </c>
      <c r="B1344" s="2">
        <v>45698</v>
      </c>
      <c r="C1344" s="1" t="s">
        <v>175</v>
      </c>
      <c r="D1344" s="1" t="s">
        <v>176</v>
      </c>
      <c r="E1344" s="1" t="s">
        <v>16</v>
      </c>
      <c r="F1344" s="1" t="s">
        <v>25</v>
      </c>
      <c r="G1344" s="1" t="s">
        <v>26</v>
      </c>
      <c r="H1344" s="1" t="s">
        <v>49</v>
      </c>
      <c r="I1344">
        <v>6</v>
      </c>
      <c r="J1344">
        <v>10903.94</v>
      </c>
      <c r="K1344">
        <v>0.1</v>
      </c>
      <c r="L1344">
        <v>3234.46</v>
      </c>
      <c r="M1344" s="1" t="s">
        <v>28</v>
      </c>
    </row>
    <row r="1345" spans="1:13" x14ac:dyDescent="0.3">
      <c r="A1345" s="1" t="s">
        <v>2159</v>
      </c>
      <c r="B1345" s="2">
        <v>45691</v>
      </c>
      <c r="C1345" s="1" t="s">
        <v>92</v>
      </c>
      <c r="D1345" s="1" t="s">
        <v>93</v>
      </c>
      <c r="E1345" s="1" t="s">
        <v>24</v>
      </c>
      <c r="F1345" s="1" t="s">
        <v>25</v>
      </c>
      <c r="G1345" s="1" t="s">
        <v>44</v>
      </c>
      <c r="H1345" s="1" t="s">
        <v>90</v>
      </c>
      <c r="I1345">
        <v>7</v>
      </c>
      <c r="J1345">
        <v>56103.49</v>
      </c>
      <c r="K1345">
        <v>0.2</v>
      </c>
      <c r="L1345">
        <v>10817.22</v>
      </c>
      <c r="M1345" s="1" t="s">
        <v>20</v>
      </c>
    </row>
    <row r="1346" spans="1:13" x14ac:dyDescent="0.3">
      <c r="A1346" s="1" t="s">
        <v>2160</v>
      </c>
      <c r="B1346" s="2">
        <v>45674</v>
      </c>
      <c r="C1346" s="1" t="s">
        <v>530</v>
      </c>
      <c r="D1346" s="1" t="s">
        <v>531</v>
      </c>
      <c r="E1346" s="1" t="s">
        <v>24</v>
      </c>
      <c r="F1346" s="1" t="s">
        <v>69</v>
      </c>
      <c r="G1346" s="1" t="s">
        <v>32</v>
      </c>
      <c r="H1346" s="1" t="s">
        <v>59</v>
      </c>
      <c r="I1346">
        <v>9</v>
      </c>
      <c r="J1346">
        <v>74568.17</v>
      </c>
      <c r="K1346">
        <v>0.2</v>
      </c>
      <c r="L1346">
        <v>12916.81</v>
      </c>
      <c r="M1346" s="1" t="s">
        <v>55</v>
      </c>
    </row>
    <row r="1347" spans="1:13" x14ac:dyDescent="0.3">
      <c r="A1347" s="1" t="s">
        <v>2161</v>
      </c>
      <c r="B1347" s="2">
        <v>45822</v>
      </c>
      <c r="C1347" s="1" t="s">
        <v>756</v>
      </c>
      <c r="D1347" s="1" t="s">
        <v>757</v>
      </c>
      <c r="E1347" s="1" t="s">
        <v>24</v>
      </c>
      <c r="F1347" s="1" t="s">
        <v>69</v>
      </c>
      <c r="G1347" s="1" t="s">
        <v>18</v>
      </c>
      <c r="H1347" s="1" t="s">
        <v>19</v>
      </c>
      <c r="I1347">
        <v>5</v>
      </c>
      <c r="J1347">
        <v>11719.17</v>
      </c>
      <c r="K1347">
        <v>0.15</v>
      </c>
      <c r="L1347">
        <v>3746.86</v>
      </c>
      <c r="M1347" s="1" t="s">
        <v>55</v>
      </c>
    </row>
    <row r="1348" spans="1:13" x14ac:dyDescent="0.3">
      <c r="A1348" s="1" t="s">
        <v>2162</v>
      </c>
      <c r="B1348" s="2">
        <v>45810</v>
      </c>
      <c r="C1348" s="1" t="s">
        <v>1119</v>
      </c>
      <c r="D1348" s="1" t="s">
        <v>1120</v>
      </c>
      <c r="E1348" s="1" t="s">
        <v>16</v>
      </c>
      <c r="F1348" s="1" t="s">
        <v>69</v>
      </c>
      <c r="G1348" s="1" t="s">
        <v>32</v>
      </c>
      <c r="H1348" s="1" t="s">
        <v>38</v>
      </c>
      <c r="I1348">
        <v>2</v>
      </c>
      <c r="J1348">
        <v>22973.13</v>
      </c>
      <c r="K1348">
        <v>0</v>
      </c>
      <c r="L1348">
        <v>4898.67</v>
      </c>
      <c r="M1348" s="1" t="s">
        <v>20</v>
      </c>
    </row>
    <row r="1349" spans="1:13" x14ac:dyDescent="0.3">
      <c r="A1349" s="1" t="s">
        <v>2163</v>
      </c>
      <c r="B1349" s="2">
        <v>45733</v>
      </c>
      <c r="C1349" s="1" t="s">
        <v>2164</v>
      </c>
      <c r="D1349" s="1" t="s">
        <v>2165</v>
      </c>
      <c r="E1349" s="1" t="s">
        <v>24</v>
      </c>
      <c r="F1349" s="1" t="s">
        <v>17</v>
      </c>
      <c r="G1349" s="1" t="s">
        <v>32</v>
      </c>
      <c r="H1349" s="1" t="s">
        <v>79</v>
      </c>
      <c r="I1349">
        <v>1</v>
      </c>
      <c r="J1349">
        <v>13058.17</v>
      </c>
      <c r="K1349">
        <v>0.25</v>
      </c>
      <c r="L1349">
        <v>3476.45</v>
      </c>
      <c r="M1349" s="1" t="s">
        <v>28</v>
      </c>
    </row>
    <row r="1350" spans="1:13" x14ac:dyDescent="0.3">
      <c r="A1350" s="1" t="s">
        <v>2166</v>
      </c>
      <c r="B1350" s="2">
        <v>45744</v>
      </c>
      <c r="C1350" s="1" t="s">
        <v>369</v>
      </c>
      <c r="D1350" s="1" t="s">
        <v>370</v>
      </c>
      <c r="E1350" s="1" t="s">
        <v>37</v>
      </c>
      <c r="F1350" s="1" t="s">
        <v>69</v>
      </c>
      <c r="G1350" s="1" t="s">
        <v>32</v>
      </c>
      <c r="H1350" s="1" t="s">
        <v>33</v>
      </c>
      <c r="I1350">
        <v>7</v>
      </c>
      <c r="J1350">
        <v>82493.899999999994</v>
      </c>
      <c r="K1350">
        <v>0.05</v>
      </c>
      <c r="L1350">
        <v>18814.89</v>
      </c>
      <c r="M1350" s="1" t="s">
        <v>55</v>
      </c>
    </row>
    <row r="1351" spans="1:13" x14ac:dyDescent="0.3">
      <c r="A1351" s="1" t="s">
        <v>2167</v>
      </c>
      <c r="B1351" s="2">
        <v>45774</v>
      </c>
      <c r="C1351" s="1" t="s">
        <v>1612</v>
      </c>
      <c r="D1351" s="1" t="s">
        <v>1613</v>
      </c>
      <c r="E1351" s="1" t="s">
        <v>16</v>
      </c>
      <c r="F1351" s="1" t="s">
        <v>17</v>
      </c>
      <c r="G1351" s="1" t="s">
        <v>44</v>
      </c>
      <c r="H1351" s="1" t="s">
        <v>70</v>
      </c>
      <c r="I1351">
        <v>7</v>
      </c>
      <c r="J1351">
        <v>59640.99</v>
      </c>
      <c r="K1351">
        <v>0</v>
      </c>
      <c r="L1351">
        <v>8865.1200000000008</v>
      </c>
      <c r="M1351" s="1" t="s">
        <v>50</v>
      </c>
    </row>
    <row r="1352" spans="1:13" x14ac:dyDescent="0.3">
      <c r="A1352" s="1" t="s">
        <v>2168</v>
      </c>
      <c r="B1352" s="2">
        <v>46019</v>
      </c>
      <c r="C1352" s="1" t="s">
        <v>972</v>
      </c>
      <c r="D1352" s="1" t="s">
        <v>973</v>
      </c>
      <c r="E1352" s="1" t="s">
        <v>37</v>
      </c>
      <c r="F1352" s="1" t="s">
        <v>25</v>
      </c>
      <c r="G1352" s="1" t="s">
        <v>18</v>
      </c>
      <c r="H1352" s="1" t="s">
        <v>97</v>
      </c>
      <c r="I1352">
        <v>3</v>
      </c>
      <c r="J1352">
        <v>2622.91</v>
      </c>
      <c r="K1352">
        <v>0.15</v>
      </c>
      <c r="L1352">
        <v>854.75</v>
      </c>
      <c r="M1352" s="1" t="s">
        <v>20</v>
      </c>
    </row>
    <row r="1353" spans="1:13" x14ac:dyDescent="0.3">
      <c r="A1353" s="1" t="s">
        <v>2169</v>
      </c>
      <c r="B1353" s="2">
        <v>45999</v>
      </c>
      <c r="C1353" s="1" t="s">
        <v>1567</v>
      </c>
      <c r="D1353" s="1" t="s">
        <v>1568</v>
      </c>
      <c r="E1353" s="1" t="s">
        <v>43</v>
      </c>
      <c r="F1353" s="1" t="s">
        <v>69</v>
      </c>
      <c r="G1353" s="1" t="s">
        <v>32</v>
      </c>
      <c r="H1353" s="1" t="s">
        <v>33</v>
      </c>
      <c r="I1353">
        <v>3</v>
      </c>
      <c r="J1353">
        <v>32775.39</v>
      </c>
      <c r="K1353">
        <v>0.1</v>
      </c>
      <c r="L1353">
        <v>7836.34</v>
      </c>
      <c r="M1353" s="1" t="s">
        <v>55</v>
      </c>
    </row>
    <row r="1354" spans="1:13" x14ac:dyDescent="0.3">
      <c r="A1354" s="1" t="s">
        <v>2170</v>
      </c>
      <c r="B1354" s="2">
        <v>45684</v>
      </c>
      <c r="C1354" s="1" t="s">
        <v>214</v>
      </c>
      <c r="D1354" s="1" t="s">
        <v>215</v>
      </c>
      <c r="E1354" s="1" t="s">
        <v>74</v>
      </c>
      <c r="F1354" s="1" t="s">
        <v>69</v>
      </c>
      <c r="G1354" s="1" t="s">
        <v>26</v>
      </c>
      <c r="H1354" s="1" t="s">
        <v>231</v>
      </c>
      <c r="I1354">
        <v>4</v>
      </c>
      <c r="J1354">
        <v>10632.18</v>
      </c>
      <c r="K1354">
        <v>0.25</v>
      </c>
      <c r="L1354">
        <v>3061.07</v>
      </c>
      <c r="M1354" s="1" t="s">
        <v>55</v>
      </c>
    </row>
    <row r="1355" spans="1:13" x14ac:dyDescent="0.3">
      <c r="A1355" s="1" t="s">
        <v>2171</v>
      </c>
      <c r="B1355" s="2">
        <v>45970</v>
      </c>
      <c r="C1355" s="1" t="s">
        <v>488</v>
      </c>
      <c r="D1355" s="1" t="s">
        <v>489</v>
      </c>
      <c r="E1355" s="1" t="s">
        <v>37</v>
      </c>
      <c r="F1355" s="1" t="s">
        <v>17</v>
      </c>
      <c r="G1355" s="1" t="s">
        <v>32</v>
      </c>
      <c r="H1355" s="1" t="s">
        <v>79</v>
      </c>
      <c r="I1355">
        <v>7</v>
      </c>
      <c r="J1355">
        <v>48627.63</v>
      </c>
      <c r="K1355">
        <v>0.1</v>
      </c>
      <c r="L1355">
        <v>9336.18</v>
      </c>
      <c r="M1355" s="1" t="s">
        <v>39</v>
      </c>
    </row>
    <row r="1356" spans="1:13" x14ac:dyDescent="0.3">
      <c r="A1356" s="1" t="s">
        <v>2172</v>
      </c>
      <c r="B1356" s="2">
        <v>45944</v>
      </c>
      <c r="C1356" s="1" t="s">
        <v>288</v>
      </c>
      <c r="D1356" s="1" t="s">
        <v>289</v>
      </c>
      <c r="E1356" s="1" t="s">
        <v>24</v>
      </c>
      <c r="F1356" s="1" t="s">
        <v>69</v>
      </c>
      <c r="G1356" s="1" t="s">
        <v>44</v>
      </c>
      <c r="H1356" s="1" t="s">
        <v>155</v>
      </c>
      <c r="I1356">
        <v>8</v>
      </c>
      <c r="J1356">
        <v>74662.100000000006</v>
      </c>
      <c r="K1356">
        <v>0.2</v>
      </c>
      <c r="L1356">
        <v>11457.81</v>
      </c>
      <c r="M1356" s="1" t="s">
        <v>28</v>
      </c>
    </row>
    <row r="1357" spans="1:13" x14ac:dyDescent="0.3">
      <c r="A1357" s="1" t="s">
        <v>2173</v>
      </c>
      <c r="B1357" s="2">
        <v>45791</v>
      </c>
      <c r="C1357" s="1" t="s">
        <v>770</v>
      </c>
      <c r="D1357" s="1" t="s">
        <v>771</v>
      </c>
      <c r="E1357" s="1" t="s">
        <v>16</v>
      </c>
      <c r="F1357" s="1" t="s">
        <v>17</v>
      </c>
      <c r="G1357" s="1" t="s">
        <v>44</v>
      </c>
      <c r="H1357" s="1" t="s">
        <v>155</v>
      </c>
      <c r="I1357">
        <v>5</v>
      </c>
      <c r="J1357">
        <v>36583.72</v>
      </c>
      <c r="K1357">
        <v>0.1</v>
      </c>
      <c r="L1357">
        <v>5438.38</v>
      </c>
      <c r="M1357" s="1" t="s">
        <v>50</v>
      </c>
    </row>
    <row r="1358" spans="1:13" x14ac:dyDescent="0.3">
      <c r="A1358" s="1" t="s">
        <v>2174</v>
      </c>
      <c r="B1358" s="2">
        <v>45876</v>
      </c>
      <c r="C1358" s="1" t="s">
        <v>2175</v>
      </c>
      <c r="D1358" s="1" t="s">
        <v>2176</v>
      </c>
      <c r="E1358" s="1" t="s">
        <v>24</v>
      </c>
      <c r="F1358" s="1" t="s">
        <v>25</v>
      </c>
      <c r="G1358" s="1" t="s">
        <v>18</v>
      </c>
      <c r="H1358" s="1" t="s">
        <v>19</v>
      </c>
      <c r="I1358">
        <v>2</v>
      </c>
      <c r="J1358">
        <v>3416.16</v>
      </c>
      <c r="K1358">
        <v>0.15</v>
      </c>
      <c r="L1358">
        <v>901.53</v>
      </c>
      <c r="M1358" s="1" t="s">
        <v>50</v>
      </c>
    </row>
    <row r="1359" spans="1:13" x14ac:dyDescent="0.3">
      <c r="A1359" s="1" t="s">
        <v>2177</v>
      </c>
      <c r="B1359" s="2">
        <v>45825</v>
      </c>
      <c r="C1359" s="1" t="s">
        <v>943</v>
      </c>
      <c r="D1359" s="1" t="s">
        <v>944</v>
      </c>
      <c r="E1359" s="1" t="s">
        <v>37</v>
      </c>
      <c r="F1359" s="1" t="s">
        <v>25</v>
      </c>
      <c r="G1359" s="1" t="s">
        <v>18</v>
      </c>
      <c r="H1359" s="1" t="s">
        <v>122</v>
      </c>
      <c r="I1359">
        <v>9</v>
      </c>
      <c r="J1359">
        <v>15572.46</v>
      </c>
      <c r="K1359">
        <v>0.2</v>
      </c>
      <c r="L1359">
        <v>4296.9399999999996</v>
      </c>
      <c r="M1359" s="1" t="s">
        <v>50</v>
      </c>
    </row>
    <row r="1360" spans="1:13" x14ac:dyDescent="0.3">
      <c r="A1360" s="1" t="s">
        <v>2178</v>
      </c>
      <c r="B1360" s="2">
        <v>45755</v>
      </c>
      <c r="C1360" s="1" t="s">
        <v>30</v>
      </c>
      <c r="D1360" s="1" t="s">
        <v>31</v>
      </c>
      <c r="E1360" s="1" t="s">
        <v>43</v>
      </c>
      <c r="F1360" s="1" t="s">
        <v>25</v>
      </c>
      <c r="G1360" s="1" t="s">
        <v>44</v>
      </c>
      <c r="H1360" s="1" t="s">
        <v>155</v>
      </c>
      <c r="I1360">
        <v>8</v>
      </c>
      <c r="J1360">
        <v>80890.73</v>
      </c>
      <c r="K1360">
        <v>0.2</v>
      </c>
      <c r="L1360">
        <v>12992.25</v>
      </c>
      <c r="M1360" s="1" t="s">
        <v>28</v>
      </c>
    </row>
    <row r="1361" spans="1:13" x14ac:dyDescent="0.3">
      <c r="A1361" s="1" t="s">
        <v>2179</v>
      </c>
      <c r="B1361" s="2">
        <v>45925</v>
      </c>
      <c r="C1361" s="1" t="s">
        <v>392</v>
      </c>
      <c r="D1361" s="1" t="s">
        <v>393</v>
      </c>
      <c r="E1361" s="1" t="s">
        <v>43</v>
      </c>
      <c r="F1361" s="1" t="s">
        <v>69</v>
      </c>
      <c r="G1361" s="1" t="s">
        <v>18</v>
      </c>
      <c r="H1361" s="1" t="s">
        <v>141</v>
      </c>
      <c r="I1361">
        <v>8</v>
      </c>
      <c r="J1361">
        <v>12782.31</v>
      </c>
      <c r="K1361">
        <v>0.1</v>
      </c>
      <c r="L1361">
        <v>3192.49</v>
      </c>
      <c r="M1361" s="1" t="s">
        <v>55</v>
      </c>
    </row>
    <row r="1362" spans="1:13" x14ac:dyDescent="0.3">
      <c r="A1362" s="1" t="s">
        <v>2180</v>
      </c>
      <c r="B1362" s="2">
        <v>45894</v>
      </c>
      <c r="C1362" s="1" t="s">
        <v>1934</v>
      </c>
      <c r="D1362" s="1" t="s">
        <v>1935</v>
      </c>
      <c r="E1362" s="1" t="s">
        <v>16</v>
      </c>
      <c r="F1362" s="1" t="s">
        <v>17</v>
      </c>
      <c r="G1362" s="1" t="s">
        <v>18</v>
      </c>
      <c r="H1362" s="1" t="s">
        <v>97</v>
      </c>
      <c r="I1362">
        <v>1</v>
      </c>
      <c r="J1362">
        <v>872.62</v>
      </c>
      <c r="K1362">
        <v>0.15</v>
      </c>
      <c r="L1362">
        <v>203.81</v>
      </c>
      <c r="M1362" s="1" t="s">
        <v>39</v>
      </c>
    </row>
    <row r="1363" spans="1:13" x14ac:dyDescent="0.3">
      <c r="A1363" s="1" t="s">
        <v>2181</v>
      </c>
      <c r="B1363" s="2">
        <v>45966</v>
      </c>
      <c r="C1363" s="1" t="s">
        <v>1158</v>
      </c>
      <c r="D1363" s="1" t="s">
        <v>1159</v>
      </c>
      <c r="E1363" s="1" t="s">
        <v>43</v>
      </c>
      <c r="F1363" s="1" t="s">
        <v>25</v>
      </c>
      <c r="G1363" s="1" t="s">
        <v>26</v>
      </c>
      <c r="H1363" s="1" t="s">
        <v>27</v>
      </c>
      <c r="I1363">
        <v>2</v>
      </c>
      <c r="J1363">
        <v>2980.67</v>
      </c>
      <c r="K1363">
        <v>0.2</v>
      </c>
      <c r="L1363">
        <v>790.5</v>
      </c>
      <c r="M1363" s="1" t="s">
        <v>50</v>
      </c>
    </row>
    <row r="1364" spans="1:13" x14ac:dyDescent="0.3">
      <c r="A1364" s="1" t="s">
        <v>2182</v>
      </c>
      <c r="B1364" s="2">
        <v>45830</v>
      </c>
      <c r="C1364" s="1" t="s">
        <v>1555</v>
      </c>
      <c r="D1364" s="1" t="s">
        <v>1556</v>
      </c>
      <c r="E1364" s="1" t="s">
        <v>16</v>
      </c>
      <c r="F1364" s="1" t="s">
        <v>17</v>
      </c>
      <c r="G1364" s="1" t="s">
        <v>32</v>
      </c>
      <c r="H1364" s="1" t="s">
        <v>59</v>
      </c>
      <c r="I1364">
        <v>2</v>
      </c>
      <c r="J1364">
        <v>13508.06</v>
      </c>
      <c r="K1364">
        <v>0.15</v>
      </c>
      <c r="L1364">
        <v>2914.92</v>
      </c>
      <c r="M1364" s="1" t="s">
        <v>50</v>
      </c>
    </row>
    <row r="1365" spans="1:13" x14ac:dyDescent="0.3">
      <c r="A1365" s="1" t="s">
        <v>2183</v>
      </c>
      <c r="B1365" s="2">
        <v>45847</v>
      </c>
      <c r="C1365" s="1" t="s">
        <v>35</v>
      </c>
      <c r="D1365" s="1" t="s">
        <v>36</v>
      </c>
      <c r="E1365" s="1" t="s">
        <v>74</v>
      </c>
      <c r="F1365" s="1" t="s">
        <v>69</v>
      </c>
      <c r="G1365" s="1" t="s">
        <v>26</v>
      </c>
      <c r="H1365" s="1" t="s">
        <v>27</v>
      </c>
      <c r="I1365">
        <v>1</v>
      </c>
      <c r="J1365">
        <v>1926.78</v>
      </c>
      <c r="K1365">
        <v>0.05</v>
      </c>
      <c r="L1365">
        <v>526.63</v>
      </c>
      <c r="M1365" s="1" t="s">
        <v>55</v>
      </c>
    </row>
    <row r="1366" spans="1:13" x14ac:dyDescent="0.3">
      <c r="A1366" s="1" t="s">
        <v>2184</v>
      </c>
      <c r="B1366" s="2">
        <v>45779</v>
      </c>
      <c r="C1366" s="1" t="s">
        <v>808</v>
      </c>
      <c r="D1366" s="1" t="s">
        <v>809</v>
      </c>
      <c r="E1366" s="1" t="s">
        <v>43</v>
      </c>
      <c r="F1366" s="1" t="s">
        <v>69</v>
      </c>
      <c r="G1366" s="1" t="s">
        <v>18</v>
      </c>
      <c r="H1366" s="1" t="s">
        <v>19</v>
      </c>
      <c r="I1366">
        <v>5</v>
      </c>
      <c r="J1366">
        <v>10397.879999999999</v>
      </c>
      <c r="K1366">
        <v>0.1</v>
      </c>
      <c r="L1366">
        <v>2812.13</v>
      </c>
      <c r="M1366" s="1" t="s">
        <v>50</v>
      </c>
    </row>
    <row r="1367" spans="1:13" x14ac:dyDescent="0.3">
      <c r="A1367" s="1" t="s">
        <v>2185</v>
      </c>
      <c r="B1367" s="2">
        <v>45703</v>
      </c>
      <c r="C1367" s="1" t="s">
        <v>671</v>
      </c>
      <c r="D1367" s="1" t="s">
        <v>672</v>
      </c>
      <c r="E1367" s="1" t="s">
        <v>24</v>
      </c>
      <c r="F1367" s="1" t="s">
        <v>69</v>
      </c>
      <c r="G1367" s="1" t="s">
        <v>26</v>
      </c>
      <c r="H1367" s="1" t="s">
        <v>86</v>
      </c>
      <c r="I1367">
        <v>2</v>
      </c>
      <c r="J1367">
        <v>5009.6400000000003</v>
      </c>
      <c r="K1367">
        <v>0.15</v>
      </c>
      <c r="L1367">
        <v>1207.6600000000001</v>
      </c>
      <c r="M1367" s="1" t="s">
        <v>28</v>
      </c>
    </row>
    <row r="1368" spans="1:13" x14ac:dyDescent="0.3">
      <c r="A1368" s="1" t="s">
        <v>2186</v>
      </c>
      <c r="B1368" s="2">
        <v>45721</v>
      </c>
      <c r="C1368" s="1" t="s">
        <v>1555</v>
      </c>
      <c r="D1368" s="1" t="s">
        <v>1556</v>
      </c>
      <c r="E1368" s="1" t="s">
        <v>16</v>
      </c>
      <c r="F1368" s="1" t="s">
        <v>25</v>
      </c>
      <c r="G1368" s="1" t="s">
        <v>44</v>
      </c>
      <c r="H1368" s="1" t="s">
        <v>75</v>
      </c>
      <c r="I1368">
        <v>9</v>
      </c>
      <c r="J1368">
        <v>90412.5</v>
      </c>
      <c r="K1368">
        <v>0.15</v>
      </c>
      <c r="L1368">
        <v>19850.71</v>
      </c>
      <c r="M1368" s="1" t="s">
        <v>55</v>
      </c>
    </row>
    <row r="1369" spans="1:13" x14ac:dyDescent="0.3">
      <c r="A1369" s="1" t="s">
        <v>2187</v>
      </c>
      <c r="B1369" s="2">
        <v>45787</v>
      </c>
      <c r="C1369" s="1" t="s">
        <v>1025</v>
      </c>
      <c r="D1369" s="1" t="s">
        <v>1026</v>
      </c>
      <c r="E1369" s="1" t="s">
        <v>24</v>
      </c>
      <c r="F1369" s="1" t="s">
        <v>69</v>
      </c>
      <c r="G1369" s="1" t="s">
        <v>26</v>
      </c>
      <c r="H1369" s="1" t="s">
        <v>27</v>
      </c>
      <c r="I1369">
        <v>1</v>
      </c>
      <c r="J1369">
        <v>2417.83</v>
      </c>
      <c r="K1369">
        <v>0</v>
      </c>
      <c r="L1369">
        <v>659.17</v>
      </c>
      <c r="M1369" s="1" t="s">
        <v>55</v>
      </c>
    </row>
    <row r="1370" spans="1:13" x14ac:dyDescent="0.3">
      <c r="A1370" s="1" t="s">
        <v>2188</v>
      </c>
      <c r="B1370" s="2">
        <v>45967</v>
      </c>
      <c r="C1370" s="1" t="s">
        <v>527</v>
      </c>
      <c r="D1370" s="1" t="s">
        <v>528</v>
      </c>
      <c r="E1370" s="1" t="s">
        <v>74</v>
      </c>
      <c r="F1370" s="1" t="s">
        <v>25</v>
      </c>
      <c r="G1370" s="1" t="s">
        <v>44</v>
      </c>
      <c r="H1370" s="1" t="s">
        <v>90</v>
      </c>
      <c r="I1370">
        <v>2</v>
      </c>
      <c r="J1370">
        <v>13352.5</v>
      </c>
      <c r="K1370">
        <v>0.15</v>
      </c>
      <c r="L1370">
        <v>2248.5100000000002</v>
      </c>
      <c r="M1370" s="1" t="s">
        <v>20</v>
      </c>
    </row>
    <row r="1371" spans="1:13" x14ac:dyDescent="0.3">
      <c r="A1371" s="1" t="s">
        <v>2189</v>
      </c>
      <c r="B1371" s="2">
        <v>46020</v>
      </c>
      <c r="C1371" s="1" t="s">
        <v>1233</v>
      </c>
      <c r="D1371" s="1" t="s">
        <v>1234</v>
      </c>
      <c r="E1371" s="1" t="s">
        <v>43</v>
      </c>
      <c r="F1371" s="1" t="s">
        <v>69</v>
      </c>
      <c r="G1371" s="1" t="s">
        <v>32</v>
      </c>
      <c r="H1371" s="1" t="s">
        <v>79</v>
      </c>
      <c r="I1371">
        <v>6</v>
      </c>
      <c r="J1371">
        <v>50660.62</v>
      </c>
      <c r="K1371">
        <v>0.2</v>
      </c>
      <c r="L1371">
        <v>10010.26</v>
      </c>
      <c r="M1371" s="1" t="s">
        <v>55</v>
      </c>
    </row>
    <row r="1372" spans="1:13" x14ac:dyDescent="0.3">
      <c r="A1372" s="1" t="s">
        <v>2190</v>
      </c>
      <c r="B1372" s="2">
        <v>45850</v>
      </c>
      <c r="C1372" s="1" t="s">
        <v>1129</v>
      </c>
      <c r="D1372" s="1" t="s">
        <v>1130</v>
      </c>
      <c r="E1372" s="1" t="s">
        <v>24</v>
      </c>
      <c r="F1372" s="1" t="s">
        <v>25</v>
      </c>
      <c r="G1372" s="1" t="s">
        <v>32</v>
      </c>
      <c r="H1372" s="1" t="s">
        <v>59</v>
      </c>
      <c r="I1372">
        <v>3</v>
      </c>
      <c r="J1372">
        <v>51052.45</v>
      </c>
      <c r="K1372">
        <v>0.05</v>
      </c>
      <c r="L1372">
        <v>10603.77</v>
      </c>
      <c r="M1372" s="1" t="s">
        <v>28</v>
      </c>
    </row>
    <row r="1373" spans="1:13" x14ac:dyDescent="0.3">
      <c r="A1373" s="1" t="s">
        <v>2191</v>
      </c>
      <c r="B1373" s="2">
        <v>45964</v>
      </c>
      <c r="C1373" s="1" t="s">
        <v>217</v>
      </c>
      <c r="D1373" s="1" t="s">
        <v>218</v>
      </c>
      <c r="E1373" s="1" t="s">
        <v>43</v>
      </c>
      <c r="F1373" s="1" t="s">
        <v>69</v>
      </c>
      <c r="G1373" s="1" t="s">
        <v>44</v>
      </c>
      <c r="H1373" s="1" t="s">
        <v>45</v>
      </c>
      <c r="I1373">
        <v>10</v>
      </c>
      <c r="J1373">
        <v>59625.38</v>
      </c>
      <c r="K1373">
        <v>0.15</v>
      </c>
      <c r="L1373">
        <v>11305.94</v>
      </c>
      <c r="M1373" s="1" t="s">
        <v>20</v>
      </c>
    </row>
    <row r="1374" spans="1:13" x14ac:dyDescent="0.3">
      <c r="A1374" s="1" t="s">
        <v>2192</v>
      </c>
      <c r="B1374" s="2">
        <v>45838</v>
      </c>
      <c r="C1374" s="1" t="s">
        <v>273</v>
      </c>
      <c r="D1374" s="1" t="s">
        <v>274</v>
      </c>
      <c r="E1374" s="1" t="s">
        <v>37</v>
      </c>
      <c r="F1374" s="1" t="s">
        <v>69</v>
      </c>
      <c r="G1374" s="1" t="s">
        <v>32</v>
      </c>
      <c r="H1374" s="1" t="s">
        <v>79</v>
      </c>
      <c r="I1374">
        <v>8</v>
      </c>
      <c r="J1374">
        <v>163916.14000000001</v>
      </c>
      <c r="K1374">
        <v>0.05</v>
      </c>
      <c r="L1374">
        <v>43856.47</v>
      </c>
      <c r="M1374" s="1" t="s">
        <v>28</v>
      </c>
    </row>
    <row r="1375" spans="1:13" x14ac:dyDescent="0.3">
      <c r="A1375" s="1" t="s">
        <v>2193</v>
      </c>
      <c r="B1375" s="2">
        <v>45949</v>
      </c>
      <c r="C1375" s="1" t="s">
        <v>901</v>
      </c>
      <c r="D1375" s="1" t="s">
        <v>902</v>
      </c>
      <c r="E1375" s="1" t="s">
        <v>43</v>
      </c>
      <c r="F1375" s="1" t="s">
        <v>25</v>
      </c>
      <c r="G1375" s="1" t="s">
        <v>18</v>
      </c>
      <c r="H1375" s="1" t="s">
        <v>145</v>
      </c>
      <c r="I1375">
        <v>2</v>
      </c>
      <c r="J1375">
        <v>3584.23</v>
      </c>
      <c r="K1375">
        <v>0</v>
      </c>
      <c r="L1375">
        <v>932.03</v>
      </c>
      <c r="M1375" s="1" t="s">
        <v>55</v>
      </c>
    </row>
    <row r="1376" spans="1:13" x14ac:dyDescent="0.3">
      <c r="A1376" s="1" t="s">
        <v>2194</v>
      </c>
      <c r="B1376" s="2">
        <v>45939</v>
      </c>
      <c r="C1376" s="1" t="s">
        <v>1149</v>
      </c>
      <c r="D1376" s="1" t="s">
        <v>1150</v>
      </c>
      <c r="E1376" s="1" t="s">
        <v>24</v>
      </c>
      <c r="F1376" s="1" t="s">
        <v>25</v>
      </c>
      <c r="G1376" s="1" t="s">
        <v>18</v>
      </c>
      <c r="H1376" s="1" t="s">
        <v>122</v>
      </c>
      <c r="I1376">
        <v>5</v>
      </c>
      <c r="J1376">
        <v>4910.83</v>
      </c>
      <c r="K1376">
        <v>0.15</v>
      </c>
      <c r="L1376">
        <v>1340.15</v>
      </c>
      <c r="M1376" s="1" t="s">
        <v>20</v>
      </c>
    </row>
    <row r="1377" spans="1:13" x14ac:dyDescent="0.3">
      <c r="A1377" s="1" t="s">
        <v>2195</v>
      </c>
      <c r="B1377" s="2">
        <v>45686</v>
      </c>
      <c r="C1377" s="1" t="s">
        <v>2196</v>
      </c>
      <c r="D1377" s="1" t="s">
        <v>2197</v>
      </c>
      <c r="E1377" s="1" t="s">
        <v>24</v>
      </c>
      <c r="F1377" s="1" t="s">
        <v>25</v>
      </c>
      <c r="G1377" s="1" t="s">
        <v>44</v>
      </c>
      <c r="H1377" s="1" t="s">
        <v>70</v>
      </c>
      <c r="I1377">
        <v>3</v>
      </c>
      <c r="J1377">
        <v>20194.61</v>
      </c>
      <c r="K1377">
        <v>0.1</v>
      </c>
      <c r="L1377">
        <v>4354.1499999999996</v>
      </c>
      <c r="M1377" s="1" t="s">
        <v>28</v>
      </c>
    </row>
    <row r="1378" spans="1:13" x14ac:dyDescent="0.3">
      <c r="A1378" s="1" t="s">
        <v>2198</v>
      </c>
      <c r="B1378" s="2">
        <v>45806</v>
      </c>
      <c r="C1378" s="1" t="s">
        <v>72</v>
      </c>
      <c r="D1378" s="1" t="s">
        <v>73</v>
      </c>
      <c r="E1378" s="1" t="s">
        <v>24</v>
      </c>
      <c r="F1378" s="1" t="s">
        <v>69</v>
      </c>
      <c r="G1378" s="1" t="s">
        <v>32</v>
      </c>
      <c r="H1378" s="1" t="s">
        <v>59</v>
      </c>
      <c r="I1378">
        <v>1</v>
      </c>
      <c r="J1378">
        <v>20688.25</v>
      </c>
      <c r="K1378">
        <v>0</v>
      </c>
      <c r="L1378">
        <v>4284.13</v>
      </c>
      <c r="M1378" s="1" t="s">
        <v>50</v>
      </c>
    </row>
    <row r="1379" spans="1:13" x14ac:dyDescent="0.3">
      <c r="A1379" s="1" t="s">
        <v>2199</v>
      </c>
      <c r="B1379" s="2">
        <v>45924</v>
      </c>
      <c r="C1379" s="1" t="s">
        <v>786</v>
      </c>
      <c r="D1379" s="1" t="s">
        <v>787</v>
      </c>
      <c r="E1379" s="1" t="s">
        <v>43</v>
      </c>
      <c r="F1379" s="1" t="s">
        <v>25</v>
      </c>
      <c r="G1379" s="1" t="s">
        <v>32</v>
      </c>
      <c r="H1379" s="1" t="s">
        <v>33</v>
      </c>
      <c r="I1379">
        <v>2</v>
      </c>
      <c r="J1379">
        <v>26221.67</v>
      </c>
      <c r="K1379">
        <v>0.15</v>
      </c>
      <c r="L1379">
        <v>5329.96</v>
      </c>
      <c r="M1379" s="1" t="s">
        <v>50</v>
      </c>
    </row>
    <row r="1380" spans="1:13" x14ac:dyDescent="0.3">
      <c r="A1380" s="1" t="s">
        <v>2200</v>
      </c>
      <c r="B1380" s="2">
        <v>45953</v>
      </c>
      <c r="C1380" s="1" t="s">
        <v>1129</v>
      </c>
      <c r="D1380" s="1" t="s">
        <v>1130</v>
      </c>
      <c r="E1380" s="1" t="s">
        <v>74</v>
      </c>
      <c r="F1380" s="1" t="s">
        <v>69</v>
      </c>
      <c r="G1380" s="1" t="s">
        <v>18</v>
      </c>
      <c r="H1380" s="1" t="s">
        <v>19</v>
      </c>
      <c r="I1380">
        <v>7</v>
      </c>
      <c r="J1380">
        <v>6762.65</v>
      </c>
      <c r="K1380">
        <v>0.1</v>
      </c>
      <c r="L1380">
        <v>1871.22</v>
      </c>
      <c r="M1380" s="1" t="s">
        <v>39</v>
      </c>
    </row>
    <row r="1381" spans="1:13" x14ac:dyDescent="0.3">
      <c r="A1381" s="1" t="s">
        <v>2201</v>
      </c>
      <c r="B1381" s="2">
        <v>45668</v>
      </c>
      <c r="C1381" s="1" t="s">
        <v>2202</v>
      </c>
      <c r="D1381" s="1" t="s">
        <v>2203</v>
      </c>
      <c r="E1381" s="1" t="s">
        <v>43</v>
      </c>
      <c r="F1381" s="1" t="s">
        <v>17</v>
      </c>
      <c r="G1381" s="1" t="s">
        <v>32</v>
      </c>
      <c r="H1381" s="1" t="s">
        <v>38</v>
      </c>
      <c r="I1381">
        <v>6</v>
      </c>
      <c r="J1381">
        <v>106559.44</v>
      </c>
      <c r="K1381">
        <v>0.15</v>
      </c>
      <c r="L1381">
        <v>25587.37</v>
      </c>
      <c r="M1381" s="1" t="s">
        <v>28</v>
      </c>
    </row>
    <row r="1382" spans="1:13" x14ac:dyDescent="0.3">
      <c r="A1382" s="1" t="s">
        <v>2204</v>
      </c>
      <c r="B1382" s="2">
        <v>45821</v>
      </c>
      <c r="C1382" s="1" t="s">
        <v>671</v>
      </c>
      <c r="D1382" s="1" t="s">
        <v>672</v>
      </c>
      <c r="E1382" s="1" t="s">
        <v>74</v>
      </c>
      <c r="F1382" s="1" t="s">
        <v>25</v>
      </c>
      <c r="G1382" s="1" t="s">
        <v>26</v>
      </c>
      <c r="H1382" s="1" t="s">
        <v>86</v>
      </c>
      <c r="I1382">
        <v>9</v>
      </c>
      <c r="J1382">
        <v>24734.49</v>
      </c>
      <c r="K1382">
        <v>0.1</v>
      </c>
      <c r="L1382">
        <v>5695.75</v>
      </c>
      <c r="M1382" s="1" t="s">
        <v>55</v>
      </c>
    </row>
    <row r="1383" spans="1:13" x14ac:dyDescent="0.3">
      <c r="A1383" s="1" t="s">
        <v>2205</v>
      </c>
      <c r="B1383" s="2">
        <v>45770</v>
      </c>
      <c r="C1383" s="1" t="s">
        <v>346</v>
      </c>
      <c r="D1383" s="1" t="s">
        <v>347</v>
      </c>
      <c r="E1383" s="1" t="s">
        <v>43</v>
      </c>
      <c r="F1383" s="1" t="s">
        <v>69</v>
      </c>
      <c r="G1383" s="1" t="s">
        <v>32</v>
      </c>
      <c r="H1383" s="1" t="s">
        <v>79</v>
      </c>
      <c r="I1383">
        <v>10</v>
      </c>
      <c r="J1383">
        <v>114129.62</v>
      </c>
      <c r="K1383">
        <v>0.2</v>
      </c>
      <c r="L1383">
        <v>20003.189999999999</v>
      </c>
      <c r="M1383" s="1" t="s">
        <v>20</v>
      </c>
    </row>
    <row r="1384" spans="1:13" x14ac:dyDescent="0.3">
      <c r="A1384" s="1" t="s">
        <v>2206</v>
      </c>
      <c r="B1384" s="2">
        <v>45844</v>
      </c>
      <c r="C1384" s="1" t="s">
        <v>1287</v>
      </c>
      <c r="D1384" s="1" t="s">
        <v>1288</v>
      </c>
      <c r="E1384" s="1" t="s">
        <v>24</v>
      </c>
      <c r="F1384" s="1" t="s">
        <v>69</v>
      </c>
      <c r="G1384" s="1" t="s">
        <v>32</v>
      </c>
      <c r="H1384" s="1" t="s">
        <v>54</v>
      </c>
      <c r="I1384">
        <v>3</v>
      </c>
      <c r="J1384">
        <v>54805.96</v>
      </c>
      <c r="K1384">
        <v>0.1</v>
      </c>
      <c r="L1384">
        <v>9928.2800000000007</v>
      </c>
      <c r="M1384" s="1" t="s">
        <v>50</v>
      </c>
    </row>
    <row r="1385" spans="1:13" x14ac:dyDescent="0.3">
      <c r="A1385" s="1" t="s">
        <v>2207</v>
      </c>
      <c r="B1385" s="2">
        <v>45952</v>
      </c>
      <c r="C1385" s="1" t="s">
        <v>545</v>
      </c>
      <c r="D1385" s="1" t="s">
        <v>546</v>
      </c>
      <c r="E1385" s="1" t="s">
        <v>16</v>
      </c>
      <c r="F1385" s="1" t="s">
        <v>25</v>
      </c>
      <c r="G1385" s="1" t="s">
        <v>44</v>
      </c>
      <c r="H1385" s="1" t="s">
        <v>90</v>
      </c>
      <c r="I1385">
        <v>3</v>
      </c>
      <c r="J1385">
        <v>16439.060000000001</v>
      </c>
      <c r="K1385">
        <v>0.1</v>
      </c>
      <c r="L1385">
        <v>2242.08</v>
      </c>
      <c r="M1385" s="1" t="s">
        <v>55</v>
      </c>
    </row>
    <row r="1386" spans="1:13" x14ac:dyDescent="0.3">
      <c r="A1386" s="1" t="s">
        <v>2208</v>
      </c>
      <c r="B1386" s="2">
        <v>45889</v>
      </c>
      <c r="C1386" s="1" t="s">
        <v>679</v>
      </c>
      <c r="D1386" s="1" t="s">
        <v>680</v>
      </c>
      <c r="E1386" s="1" t="s">
        <v>24</v>
      </c>
      <c r="F1386" s="1" t="s">
        <v>25</v>
      </c>
      <c r="G1386" s="1" t="s">
        <v>44</v>
      </c>
      <c r="H1386" s="1" t="s">
        <v>155</v>
      </c>
      <c r="I1386">
        <v>2</v>
      </c>
      <c r="J1386">
        <v>14084.68</v>
      </c>
      <c r="K1386">
        <v>0.05</v>
      </c>
      <c r="L1386">
        <v>3154.71</v>
      </c>
      <c r="M1386" s="1" t="s">
        <v>55</v>
      </c>
    </row>
    <row r="1387" spans="1:13" x14ac:dyDescent="0.3">
      <c r="A1387" s="1" t="s">
        <v>2209</v>
      </c>
      <c r="B1387" s="2">
        <v>45884</v>
      </c>
      <c r="C1387" s="1" t="s">
        <v>202</v>
      </c>
      <c r="D1387" s="1" t="s">
        <v>203</v>
      </c>
      <c r="E1387" s="1" t="s">
        <v>16</v>
      </c>
      <c r="F1387" s="1" t="s">
        <v>25</v>
      </c>
      <c r="G1387" s="1" t="s">
        <v>44</v>
      </c>
      <c r="H1387" s="1" t="s">
        <v>70</v>
      </c>
      <c r="I1387">
        <v>8</v>
      </c>
      <c r="J1387">
        <v>58818.73</v>
      </c>
      <c r="K1387">
        <v>0.25</v>
      </c>
      <c r="L1387">
        <v>11599.93</v>
      </c>
      <c r="M1387" s="1" t="s">
        <v>28</v>
      </c>
    </row>
    <row r="1388" spans="1:13" x14ac:dyDescent="0.3">
      <c r="A1388" s="1" t="s">
        <v>2210</v>
      </c>
      <c r="B1388" s="2">
        <v>45967</v>
      </c>
      <c r="C1388" s="1" t="s">
        <v>1014</v>
      </c>
      <c r="D1388" s="1" t="s">
        <v>1015</v>
      </c>
      <c r="E1388" s="1" t="s">
        <v>43</v>
      </c>
      <c r="F1388" s="1" t="s">
        <v>17</v>
      </c>
      <c r="G1388" s="1" t="s">
        <v>32</v>
      </c>
      <c r="H1388" s="1" t="s">
        <v>79</v>
      </c>
      <c r="I1388">
        <v>1</v>
      </c>
      <c r="J1388">
        <v>10699.02</v>
      </c>
      <c r="K1388">
        <v>0.2</v>
      </c>
      <c r="L1388">
        <v>1989.64</v>
      </c>
      <c r="M1388" s="1" t="s">
        <v>28</v>
      </c>
    </row>
    <row r="1389" spans="1:13" x14ac:dyDescent="0.3">
      <c r="A1389" s="1" t="s">
        <v>2211</v>
      </c>
      <c r="B1389" s="2">
        <v>45755</v>
      </c>
      <c r="C1389" s="1" t="s">
        <v>130</v>
      </c>
      <c r="D1389" s="1" t="s">
        <v>131</v>
      </c>
      <c r="E1389" s="1" t="s">
        <v>24</v>
      </c>
      <c r="F1389" s="1" t="s">
        <v>17</v>
      </c>
      <c r="G1389" s="1" t="s">
        <v>26</v>
      </c>
      <c r="H1389" s="1" t="s">
        <v>231</v>
      </c>
      <c r="I1389">
        <v>9</v>
      </c>
      <c r="J1389">
        <v>16042.05</v>
      </c>
      <c r="K1389">
        <v>0.15</v>
      </c>
      <c r="L1389">
        <v>4180.57</v>
      </c>
      <c r="M1389" s="1" t="s">
        <v>55</v>
      </c>
    </row>
    <row r="1390" spans="1:13" x14ac:dyDescent="0.3">
      <c r="A1390" s="1" t="s">
        <v>2212</v>
      </c>
      <c r="B1390" s="2">
        <v>45712</v>
      </c>
      <c r="C1390" s="1" t="s">
        <v>175</v>
      </c>
      <c r="D1390" s="1" t="s">
        <v>176</v>
      </c>
      <c r="E1390" s="1" t="s">
        <v>24</v>
      </c>
      <c r="F1390" s="1" t="s">
        <v>69</v>
      </c>
      <c r="G1390" s="1" t="s">
        <v>32</v>
      </c>
      <c r="H1390" s="1" t="s">
        <v>59</v>
      </c>
      <c r="I1390">
        <v>6</v>
      </c>
      <c r="J1390">
        <v>87495.52</v>
      </c>
      <c r="K1390">
        <v>0</v>
      </c>
      <c r="L1390">
        <v>16168.78</v>
      </c>
      <c r="M1390" s="1" t="s">
        <v>55</v>
      </c>
    </row>
    <row r="1391" spans="1:13" x14ac:dyDescent="0.3">
      <c r="A1391" s="1" t="s">
        <v>2213</v>
      </c>
      <c r="B1391" s="2">
        <v>45768</v>
      </c>
      <c r="C1391" s="1" t="s">
        <v>652</v>
      </c>
      <c r="D1391" s="1" t="s">
        <v>653</v>
      </c>
      <c r="E1391" s="1" t="s">
        <v>74</v>
      </c>
      <c r="F1391" s="1" t="s">
        <v>25</v>
      </c>
      <c r="G1391" s="1" t="s">
        <v>44</v>
      </c>
      <c r="H1391" s="1" t="s">
        <v>155</v>
      </c>
      <c r="I1391">
        <v>3</v>
      </c>
      <c r="J1391">
        <v>23719.61</v>
      </c>
      <c r="K1391">
        <v>0.05</v>
      </c>
      <c r="L1391">
        <v>4244.08</v>
      </c>
      <c r="M1391" s="1" t="s">
        <v>50</v>
      </c>
    </row>
    <row r="1392" spans="1:13" x14ac:dyDescent="0.3">
      <c r="A1392" s="1" t="s">
        <v>2214</v>
      </c>
      <c r="B1392" s="2">
        <v>45809</v>
      </c>
      <c r="C1392" s="1" t="s">
        <v>288</v>
      </c>
      <c r="D1392" s="1" t="s">
        <v>289</v>
      </c>
      <c r="E1392" s="1" t="s">
        <v>24</v>
      </c>
      <c r="F1392" s="1" t="s">
        <v>25</v>
      </c>
      <c r="G1392" s="1" t="s">
        <v>32</v>
      </c>
      <c r="H1392" s="1" t="s">
        <v>33</v>
      </c>
      <c r="I1392">
        <v>1</v>
      </c>
      <c r="J1392">
        <v>9499.81</v>
      </c>
      <c r="K1392">
        <v>0.2</v>
      </c>
      <c r="L1392">
        <v>2187</v>
      </c>
      <c r="M1392" s="1" t="s">
        <v>55</v>
      </c>
    </row>
    <row r="1393" spans="1:13" x14ac:dyDescent="0.3">
      <c r="A1393" s="1" t="s">
        <v>2215</v>
      </c>
      <c r="B1393" s="2">
        <v>45903</v>
      </c>
      <c r="C1393" s="1" t="s">
        <v>2216</v>
      </c>
      <c r="D1393" s="1" t="s">
        <v>2217</v>
      </c>
      <c r="E1393" s="1" t="s">
        <v>16</v>
      </c>
      <c r="F1393" s="1" t="s">
        <v>25</v>
      </c>
      <c r="G1393" s="1" t="s">
        <v>18</v>
      </c>
      <c r="H1393" s="1" t="s">
        <v>97</v>
      </c>
      <c r="I1393">
        <v>8</v>
      </c>
      <c r="J1393">
        <v>10006.74</v>
      </c>
      <c r="K1393">
        <v>0.05</v>
      </c>
      <c r="L1393">
        <v>2445.23</v>
      </c>
      <c r="M1393" s="1" t="s">
        <v>50</v>
      </c>
    </row>
    <row r="1394" spans="1:13" x14ac:dyDescent="0.3">
      <c r="A1394" s="1" t="s">
        <v>2218</v>
      </c>
      <c r="B1394" s="2">
        <v>45726</v>
      </c>
      <c r="C1394" s="1" t="s">
        <v>859</v>
      </c>
      <c r="D1394" s="1" t="s">
        <v>860</v>
      </c>
      <c r="E1394" s="1" t="s">
        <v>43</v>
      </c>
      <c r="F1394" s="1" t="s">
        <v>25</v>
      </c>
      <c r="G1394" s="1" t="s">
        <v>44</v>
      </c>
      <c r="H1394" s="1" t="s">
        <v>75</v>
      </c>
      <c r="I1394">
        <v>5</v>
      </c>
      <c r="J1394">
        <v>58141.09</v>
      </c>
      <c r="K1394">
        <v>0</v>
      </c>
      <c r="L1394">
        <v>10198.31</v>
      </c>
      <c r="M1394" s="1" t="s">
        <v>55</v>
      </c>
    </row>
    <row r="1395" spans="1:13" x14ac:dyDescent="0.3">
      <c r="A1395" s="1" t="s">
        <v>2219</v>
      </c>
      <c r="B1395" s="2">
        <v>45969</v>
      </c>
      <c r="C1395" s="1" t="s">
        <v>1526</v>
      </c>
      <c r="D1395" s="1" t="s">
        <v>1527</v>
      </c>
      <c r="E1395" s="1" t="s">
        <v>16</v>
      </c>
      <c r="F1395" s="1" t="s">
        <v>25</v>
      </c>
      <c r="G1395" s="1" t="s">
        <v>18</v>
      </c>
      <c r="H1395" s="1" t="s">
        <v>122</v>
      </c>
      <c r="I1395">
        <v>3</v>
      </c>
      <c r="J1395">
        <v>4910.12</v>
      </c>
      <c r="K1395">
        <v>0.15</v>
      </c>
      <c r="L1395">
        <v>1350.03</v>
      </c>
      <c r="M1395" s="1" t="s">
        <v>28</v>
      </c>
    </row>
    <row r="1396" spans="1:13" x14ac:dyDescent="0.3">
      <c r="A1396" s="1" t="s">
        <v>2220</v>
      </c>
      <c r="B1396" s="2">
        <v>45946</v>
      </c>
      <c r="C1396" s="1" t="s">
        <v>1255</v>
      </c>
      <c r="D1396" s="1" t="s">
        <v>1256</v>
      </c>
      <c r="E1396" s="1" t="s">
        <v>16</v>
      </c>
      <c r="F1396" s="1" t="s">
        <v>69</v>
      </c>
      <c r="G1396" s="1" t="s">
        <v>32</v>
      </c>
      <c r="H1396" s="1" t="s">
        <v>59</v>
      </c>
      <c r="I1396">
        <v>8</v>
      </c>
      <c r="J1396">
        <v>91877.02</v>
      </c>
      <c r="K1396">
        <v>0.1</v>
      </c>
      <c r="L1396">
        <v>17473.169999999998</v>
      </c>
      <c r="M1396" s="1" t="s">
        <v>28</v>
      </c>
    </row>
    <row r="1397" spans="1:13" x14ac:dyDescent="0.3">
      <c r="A1397" s="1" t="s">
        <v>2221</v>
      </c>
      <c r="B1397" s="2">
        <v>45907</v>
      </c>
      <c r="C1397" s="1" t="s">
        <v>725</v>
      </c>
      <c r="D1397" s="1" t="s">
        <v>726</v>
      </c>
      <c r="E1397" s="1" t="s">
        <v>43</v>
      </c>
      <c r="F1397" s="1" t="s">
        <v>69</v>
      </c>
      <c r="G1397" s="1" t="s">
        <v>44</v>
      </c>
      <c r="H1397" s="1" t="s">
        <v>90</v>
      </c>
      <c r="I1397">
        <v>10</v>
      </c>
      <c r="J1397">
        <v>91359.44</v>
      </c>
      <c r="K1397">
        <v>0.1</v>
      </c>
      <c r="L1397">
        <v>14201.1</v>
      </c>
      <c r="M1397" s="1" t="s">
        <v>28</v>
      </c>
    </row>
    <row r="1398" spans="1:13" x14ac:dyDescent="0.3">
      <c r="A1398" s="1" t="s">
        <v>2222</v>
      </c>
      <c r="B1398" s="2">
        <v>45693</v>
      </c>
      <c r="C1398" s="1" t="s">
        <v>504</v>
      </c>
      <c r="D1398" s="1" t="s">
        <v>505</v>
      </c>
      <c r="E1398" s="1" t="s">
        <v>24</v>
      </c>
      <c r="F1398" s="1" t="s">
        <v>17</v>
      </c>
      <c r="G1398" s="1" t="s">
        <v>44</v>
      </c>
      <c r="H1398" s="1" t="s">
        <v>45</v>
      </c>
      <c r="I1398">
        <v>3</v>
      </c>
      <c r="J1398">
        <v>35757.599999999999</v>
      </c>
      <c r="K1398">
        <v>0.15</v>
      </c>
      <c r="L1398">
        <v>6849.38</v>
      </c>
      <c r="M1398" s="1" t="s">
        <v>28</v>
      </c>
    </row>
    <row r="1399" spans="1:13" x14ac:dyDescent="0.3">
      <c r="A1399" s="1" t="s">
        <v>2223</v>
      </c>
      <c r="B1399" s="2">
        <v>45896</v>
      </c>
      <c r="C1399" s="1" t="s">
        <v>1793</v>
      </c>
      <c r="D1399" s="1" t="s">
        <v>1794</v>
      </c>
      <c r="E1399" s="1" t="s">
        <v>37</v>
      </c>
      <c r="F1399" s="1" t="s">
        <v>25</v>
      </c>
      <c r="G1399" s="1" t="s">
        <v>44</v>
      </c>
      <c r="H1399" s="1" t="s">
        <v>90</v>
      </c>
      <c r="I1399">
        <v>1</v>
      </c>
      <c r="J1399">
        <v>10636.33</v>
      </c>
      <c r="K1399">
        <v>0.2</v>
      </c>
      <c r="L1399">
        <v>1927.61</v>
      </c>
      <c r="M1399" s="1" t="s">
        <v>20</v>
      </c>
    </row>
    <row r="1400" spans="1:13" x14ac:dyDescent="0.3">
      <c r="A1400" s="1" t="s">
        <v>2224</v>
      </c>
      <c r="B1400" s="2">
        <v>45805</v>
      </c>
      <c r="C1400" s="1" t="s">
        <v>326</v>
      </c>
      <c r="D1400" s="1" t="s">
        <v>327</v>
      </c>
      <c r="E1400" s="1" t="s">
        <v>43</v>
      </c>
      <c r="F1400" s="1" t="s">
        <v>25</v>
      </c>
      <c r="G1400" s="1" t="s">
        <v>32</v>
      </c>
      <c r="H1400" s="1" t="s">
        <v>59</v>
      </c>
      <c r="I1400">
        <v>9</v>
      </c>
      <c r="J1400">
        <v>113232.8</v>
      </c>
      <c r="K1400">
        <v>0.1</v>
      </c>
      <c r="L1400">
        <v>30513.38</v>
      </c>
      <c r="M1400" s="1" t="s">
        <v>50</v>
      </c>
    </row>
    <row r="1401" spans="1:13" x14ac:dyDescent="0.3">
      <c r="A1401" s="1" t="s">
        <v>2225</v>
      </c>
      <c r="B1401" s="2">
        <v>45884</v>
      </c>
      <c r="C1401" s="1" t="s">
        <v>2226</v>
      </c>
      <c r="D1401" s="1" t="s">
        <v>2227</v>
      </c>
      <c r="E1401" s="1" t="s">
        <v>16</v>
      </c>
      <c r="F1401" s="1" t="s">
        <v>25</v>
      </c>
      <c r="G1401" s="1" t="s">
        <v>18</v>
      </c>
      <c r="H1401" s="1" t="s">
        <v>141</v>
      </c>
      <c r="I1401">
        <v>5</v>
      </c>
      <c r="J1401">
        <v>11462.87</v>
      </c>
      <c r="K1401">
        <v>0.1</v>
      </c>
      <c r="L1401">
        <v>3302.79</v>
      </c>
      <c r="M1401" s="1" t="s">
        <v>20</v>
      </c>
    </row>
    <row r="1402" spans="1:13" x14ac:dyDescent="0.3">
      <c r="A1402" s="1" t="s">
        <v>2228</v>
      </c>
      <c r="B1402" s="2">
        <v>45901</v>
      </c>
      <c r="C1402" s="1" t="s">
        <v>710</v>
      </c>
      <c r="D1402" s="1" t="s">
        <v>711</v>
      </c>
      <c r="E1402" s="1" t="s">
        <v>37</v>
      </c>
      <c r="F1402" s="1" t="s">
        <v>17</v>
      </c>
      <c r="G1402" s="1" t="s">
        <v>32</v>
      </c>
      <c r="H1402" s="1" t="s">
        <v>33</v>
      </c>
      <c r="I1402">
        <v>4</v>
      </c>
      <c r="J1402">
        <v>43396.68</v>
      </c>
      <c r="K1402">
        <v>0.1</v>
      </c>
      <c r="L1402">
        <v>8367.27</v>
      </c>
      <c r="M1402" s="1" t="s">
        <v>55</v>
      </c>
    </row>
    <row r="1403" spans="1:13" x14ac:dyDescent="0.3">
      <c r="A1403" s="1" t="s">
        <v>2229</v>
      </c>
      <c r="B1403" s="2">
        <v>45994</v>
      </c>
      <c r="C1403" s="1" t="s">
        <v>217</v>
      </c>
      <c r="D1403" s="1" t="s">
        <v>218</v>
      </c>
      <c r="E1403" s="1" t="s">
        <v>43</v>
      </c>
      <c r="F1403" s="1" t="s">
        <v>17</v>
      </c>
      <c r="G1403" s="1" t="s">
        <v>32</v>
      </c>
      <c r="H1403" s="1" t="s">
        <v>38</v>
      </c>
      <c r="I1403">
        <v>1</v>
      </c>
      <c r="J1403">
        <v>17264.87</v>
      </c>
      <c r="K1403">
        <v>0.05</v>
      </c>
      <c r="L1403">
        <v>3314.72</v>
      </c>
      <c r="M1403" s="1" t="s">
        <v>39</v>
      </c>
    </row>
    <row r="1404" spans="1:13" x14ac:dyDescent="0.3">
      <c r="A1404" s="1" t="s">
        <v>2230</v>
      </c>
      <c r="B1404" s="2">
        <v>46022</v>
      </c>
      <c r="C1404" s="1" t="s">
        <v>751</v>
      </c>
      <c r="D1404" s="1" t="s">
        <v>752</v>
      </c>
      <c r="E1404" s="1" t="s">
        <v>24</v>
      </c>
      <c r="F1404" s="1" t="s">
        <v>69</v>
      </c>
      <c r="G1404" s="1" t="s">
        <v>26</v>
      </c>
      <c r="H1404" s="1" t="s">
        <v>244</v>
      </c>
      <c r="I1404">
        <v>8</v>
      </c>
      <c r="J1404">
        <v>32104.41</v>
      </c>
      <c r="K1404">
        <v>0.15</v>
      </c>
      <c r="L1404">
        <v>7224.15</v>
      </c>
      <c r="M1404" s="1" t="s">
        <v>28</v>
      </c>
    </row>
    <row r="1405" spans="1:13" x14ac:dyDescent="0.3">
      <c r="A1405" s="1" t="s">
        <v>2231</v>
      </c>
      <c r="B1405" s="2">
        <v>45858</v>
      </c>
      <c r="C1405" s="1" t="s">
        <v>1296</v>
      </c>
      <c r="D1405" s="1" t="s">
        <v>1297</v>
      </c>
      <c r="E1405" s="1" t="s">
        <v>43</v>
      </c>
      <c r="F1405" s="1" t="s">
        <v>69</v>
      </c>
      <c r="G1405" s="1" t="s">
        <v>32</v>
      </c>
      <c r="H1405" s="1" t="s">
        <v>38</v>
      </c>
      <c r="I1405">
        <v>2</v>
      </c>
      <c r="J1405">
        <v>33648.1</v>
      </c>
      <c r="K1405">
        <v>0.1</v>
      </c>
      <c r="L1405">
        <v>8008.44</v>
      </c>
      <c r="M1405" s="1" t="s">
        <v>39</v>
      </c>
    </row>
    <row r="1406" spans="1:13" x14ac:dyDescent="0.3">
      <c r="A1406" s="1" t="s">
        <v>2232</v>
      </c>
      <c r="B1406" s="2">
        <v>45811</v>
      </c>
      <c r="C1406" s="1" t="s">
        <v>695</v>
      </c>
      <c r="D1406" s="1" t="s">
        <v>696</v>
      </c>
      <c r="E1406" s="1" t="s">
        <v>16</v>
      </c>
      <c r="F1406" s="1" t="s">
        <v>17</v>
      </c>
      <c r="G1406" s="1" t="s">
        <v>44</v>
      </c>
      <c r="H1406" s="1" t="s">
        <v>75</v>
      </c>
      <c r="I1406">
        <v>2</v>
      </c>
      <c r="J1406">
        <v>18205.57</v>
      </c>
      <c r="K1406">
        <v>0.15</v>
      </c>
      <c r="L1406">
        <v>3756.72</v>
      </c>
      <c r="M1406" s="1" t="s">
        <v>55</v>
      </c>
    </row>
    <row r="1407" spans="1:13" x14ac:dyDescent="0.3">
      <c r="A1407" s="1" t="s">
        <v>2233</v>
      </c>
      <c r="B1407" s="2">
        <v>45730</v>
      </c>
      <c r="C1407" s="1" t="s">
        <v>1469</v>
      </c>
      <c r="D1407" s="1" t="s">
        <v>1470</v>
      </c>
      <c r="E1407" s="1" t="s">
        <v>37</v>
      </c>
      <c r="F1407" s="1" t="s">
        <v>25</v>
      </c>
      <c r="G1407" s="1" t="s">
        <v>32</v>
      </c>
      <c r="H1407" s="1" t="s">
        <v>79</v>
      </c>
      <c r="I1407">
        <v>10</v>
      </c>
      <c r="J1407">
        <v>142047.79</v>
      </c>
      <c r="K1407">
        <v>0</v>
      </c>
      <c r="L1407">
        <v>30990.32</v>
      </c>
      <c r="M1407" s="1" t="s">
        <v>28</v>
      </c>
    </row>
    <row r="1408" spans="1:13" x14ac:dyDescent="0.3">
      <c r="A1408" s="1" t="s">
        <v>2234</v>
      </c>
      <c r="B1408" s="2">
        <v>45858</v>
      </c>
      <c r="C1408" s="1" t="s">
        <v>756</v>
      </c>
      <c r="D1408" s="1" t="s">
        <v>757</v>
      </c>
      <c r="E1408" s="1" t="s">
        <v>74</v>
      </c>
      <c r="F1408" s="1" t="s">
        <v>17</v>
      </c>
      <c r="G1408" s="1" t="s">
        <v>26</v>
      </c>
      <c r="H1408" s="1" t="s">
        <v>27</v>
      </c>
      <c r="I1408">
        <v>7</v>
      </c>
      <c r="J1408">
        <v>18924.150000000001</v>
      </c>
      <c r="K1408">
        <v>0.1</v>
      </c>
      <c r="L1408">
        <v>5476.25</v>
      </c>
      <c r="M1408" s="1" t="s">
        <v>28</v>
      </c>
    </row>
    <row r="1409" spans="1:13" x14ac:dyDescent="0.3">
      <c r="A1409" s="1" t="s">
        <v>2235</v>
      </c>
      <c r="B1409" s="2">
        <v>45953</v>
      </c>
      <c r="C1409" s="1" t="s">
        <v>880</v>
      </c>
      <c r="D1409" s="1" t="s">
        <v>881</v>
      </c>
      <c r="E1409" s="1" t="s">
        <v>16</v>
      </c>
      <c r="F1409" s="1" t="s">
        <v>25</v>
      </c>
      <c r="G1409" s="1" t="s">
        <v>32</v>
      </c>
      <c r="H1409" s="1" t="s">
        <v>54</v>
      </c>
      <c r="I1409">
        <v>3</v>
      </c>
      <c r="J1409">
        <v>25448.6</v>
      </c>
      <c r="K1409">
        <v>0.2</v>
      </c>
      <c r="L1409">
        <v>4875.1499999999996</v>
      </c>
      <c r="M1409" s="1" t="s">
        <v>28</v>
      </c>
    </row>
    <row r="1410" spans="1:13" x14ac:dyDescent="0.3">
      <c r="A1410" s="1" t="s">
        <v>2236</v>
      </c>
      <c r="B1410" s="2">
        <v>45674</v>
      </c>
      <c r="C1410" s="1" t="s">
        <v>856</v>
      </c>
      <c r="D1410" s="1" t="s">
        <v>857</v>
      </c>
      <c r="E1410" s="1" t="s">
        <v>24</v>
      </c>
      <c r="F1410" s="1" t="s">
        <v>25</v>
      </c>
      <c r="G1410" s="1" t="s">
        <v>32</v>
      </c>
      <c r="H1410" s="1" t="s">
        <v>33</v>
      </c>
      <c r="I1410">
        <v>5</v>
      </c>
      <c r="J1410">
        <v>82687.820000000007</v>
      </c>
      <c r="K1410">
        <v>0.05</v>
      </c>
      <c r="L1410">
        <v>16147.56</v>
      </c>
      <c r="M1410" s="1" t="s">
        <v>50</v>
      </c>
    </row>
    <row r="1411" spans="1:13" x14ac:dyDescent="0.3">
      <c r="A1411" s="1" t="s">
        <v>2237</v>
      </c>
      <c r="B1411" s="2">
        <v>45786</v>
      </c>
      <c r="C1411" s="1" t="s">
        <v>52</v>
      </c>
      <c r="D1411" s="1" t="s">
        <v>53</v>
      </c>
      <c r="E1411" s="1" t="s">
        <v>16</v>
      </c>
      <c r="F1411" s="1" t="s">
        <v>17</v>
      </c>
      <c r="G1411" s="1" t="s">
        <v>44</v>
      </c>
      <c r="H1411" s="1" t="s">
        <v>75</v>
      </c>
      <c r="I1411">
        <v>6</v>
      </c>
      <c r="J1411">
        <v>66514.69</v>
      </c>
      <c r="K1411">
        <v>0.2</v>
      </c>
      <c r="L1411">
        <v>14597.76</v>
      </c>
      <c r="M1411" s="1" t="s">
        <v>28</v>
      </c>
    </row>
    <row r="1412" spans="1:13" x14ac:dyDescent="0.3">
      <c r="A1412" s="1" t="s">
        <v>2238</v>
      </c>
      <c r="B1412" s="2">
        <v>45874</v>
      </c>
      <c r="C1412" s="1" t="s">
        <v>1686</v>
      </c>
      <c r="D1412" s="1" t="s">
        <v>1687</v>
      </c>
      <c r="E1412" s="1" t="s">
        <v>74</v>
      </c>
      <c r="F1412" s="1" t="s">
        <v>25</v>
      </c>
      <c r="G1412" s="1" t="s">
        <v>26</v>
      </c>
      <c r="H1412" s="1" t="s">
        <v>86</v>
      </c>
      <c r="I1412">
        <v>5</v>
      </c>
      <c r="J1412">
        <v>14141.53</v>
      </c>
      <c r="K1412">
        <v>0.1</v>
      </c>
      <c r="L1412">
        <v>3214.43</v>
      </c>
      <c r="M1412" s="1" t="s">
        <v>39</v>
      </c>
    </row>
    <row r="1413" spans="1:13" x14ac:dyDescent="0.3">
      <c r="A1413" s="1" t="s">
        <v>2239</v>
      </c>
      <c r="B1413" s="2">
        <v>45718</v>
      </c>
      <c r="C1413" s="1" t="s">
        <v>969</v>
      </c>
      <c r="D1413" s="1" t="s">
        <v>970</v>
      </c>
      <c r="E1413" s="1" t="s">
        <v>43</v>
      </c>
      <c r="F1413" s="1" t="s">
        <v>69</v>
      </c>
      <c r="G1413" s="1" t="s">
        <v>18</v>
      </c>
      <c r="H1413" s="1" t="s">
        <v>19</v>
      </c>
      <c r="I1413">
        <v>4</v>
      </c>
      <c r="J1413">
        <v>6354.63</v>
      </c>
      <c r="K1413">
        <v>0.15</v>
      </c>
      <c r="L1413">
        <v>1538.65</v>
      </c>
      <c r="M1413" s="1" t="s">
        <v>28</v>
      </c>
    </row>
    <row r="1414" spans="1:13" x14ac:dyDescent="0.3">
      <c r="A1414" s="1" t="s">
        <v>2240</v>
      </c>
      <c r="B1414" s="2">
        <v>45761</v>
      </c>
      <c r="C1414" s="1" t="s">
        <v>1367</v>
      </c>
      <c r="D1414" s="1" t="s">
        <v>1368</v>
      </c>
      <c r="E1414" s="1" t="s">
        <v>43</v>
      </c>
      <c r="F1414" s="1" t="s">
        <v>25</v>
      </c>
      <c r="G1414" s="1" t="s">
        <v>32</v>
      </c>
      <c r="H1414" s="1" t="s">
        <v>59</v>
      </c>
      <c r="I1414">
        <v>3</v>
      </c>
      <c r="J1414">
        <v>22103.25</v>
      </c>
      <c r="K1414">
        <v>0.1</v>
      </c>
      <c r="L1414">
        <v>4638.72</v>
      </c>
      <c r="M1414" s="1" t="s">
        <v>28</v>
      </c>
    </row>
    <row r="1415" spans="1:13" x14ac:dyDescent="0.3">
      <c r="A1415" s="1" t="s">
        <v>2241</v>
      </c>
      <c r="B1415" s="2">
        <v>45699</v>
      </c>
      <c r="C1415" s="1" t="s">
        <v>1153</v>
      </c>
      <c r="D1415" s="1" t="s">
        <v>1154</v>
      </c>
      <c r="E1415" s="1" t="s">
        <v>43</v>
      </c>
      <c r="F1415" s="1" t="s">
        <v>25</v>
      </c>
      <c r="G1415" s="1" t="s">
        <v>44</v>
      </c>
      <c r="H1415" s="1" t="s">
        <v>90</v>
      </c>
      <c r="I1415">
        <v>7</v>
      </c>
      <c r="J1415">
        <v>80490.320000000007</v>
      </c>
      <c r="K1415">
        <v>0.2</v>
      </c>
      <c r="L1415">
        <v>14194.89</v>
      </c>
      <c r="M1415" s="1" t="s">
        <v>50</v>
      </c>
    </row>
    <row r="1416" spans="1:13" x14ac:dyDescent="0.3">
      <c r="A1416" s="1" t="s">
        <v>2242</v>
      </c>
      <c r="B1416" s="2">
        <v>45682</v>
      </c>
      <c r="C1416" s="1" t="s">
        <v>550</v>
      </c>
      <c r="D1416" s="1" t="s">
        <v>551</v>
      </c>
      <c r="E1416" s="1" t="s">
        <v>37</v>
      </c>
      <c r="F1416" s="1" t="s">
        <v>25</v>
      </c>
      <c r="G1416" s="1" t="s">
        <v>32</v>
      </c>
      <c r="H1416" s="1" t="s">
        <v>54</v>
      </c>
      <c r="I1416">
        <v>7</v>
      </c>
      <c r="J1416">
        <v>56728.51</v>
      </c>
      <c r="K1416">
        <v>0.15</v>
      </c>
      <c r="L1416">
        <v>12232.03</v>
      </c>
      <c r="M1416" s="1" t="s">
        <v>55</v>
      </c>
    </row>
    <row r="1417" spans="1:13" x14ac:dyDescent="0.3">
      <c r="A1417" s="1" t="s">
        <v>2243</v>
      </c>
      <c r="B1417" s="2">
        <v>45696</v>
      </c>
      <c r="C1417" s="1" t="s">
        <v>875</v>
      </c>
      <c r="D1417" s="1" t="s">
        <v>876</v>
      </c>
      <c r="E1417" s="1" t="s">
        <v>24</v>
      </c>
      <c r="F1417" s="1" t="s">
        <v>25</v>
      </c>
      <c r="G1417" s="1" t="s">
        <v>32</v>
      </c>
      <c r="H1417" s="1" t="s">
        <v>59</v>
      </c>
      <c r="I1417">
        <v>5</v>
      </c>
      <c r="J1417">
        <v>76531.02</v>
      </c>
      <c r="K1417">
        <v>0.05</v>
      </c>
      <c r="L1417">
        <v>14622.04</v>
      </c>
      <c r="M1417" s="1" t="s">
        <v>28</v>
      </c>
    </row>
    <row r="1418" spans="1:13" x14ac:dyDescent="0.3">
      <c r="A1418" s="1" t="s">
        <v>2244</v>
      </c>
      <c r="B1418" s="2">
        <v>45948</v>
      </c>
      <c r="C1418" s="1" t="s">
        <v>863</v>
      </c>
      <c r="D1418" s="1" t="s">
        <v>864</v>
      </c>
      <c r="E1418" s="1" t="s">
        <v>74</v>
      </c>
      <c r="F1418" s="1" t="s">
        <v>25</v>
      </c>
      <c r="G1418" s="1" t="s">
        <v>18</v>
      </c>
      <c r="H1418" s="1" t="s">
        <v>122</v>
      </c>
      <c r="I1418">
        <v>8</v>
      </c>
      <c r="J1418">
        <v>18918.099999999999</v>
      </c>
      <c r="K1418">
        <v>0.05</v>
      </c>
      <c r="L1418">
        <v>4977.91</v>
      </c>
      <c r="M1418" s="1" t="s">
        <v>55</v>
      </c>
    </row>
    <row r="1419" spans="1:13" x14ac:dyDescent="0.3">
      <c r="A1419" s="1" t="s">
        <v>2245</v>
      </c>
      <c r="B1419" s="2">
        <v>45788</v>
      </c>
      <c r="C1419" s="1" t="s">
        <v>2053</v>
      </c>
      <c r="D1419" s="1" t="s">
        <v>2054</v>
      </c>
      <c r="E1419" s="1" t="s">
        <v>74</v>
      </c>
      <c r="F1419" s="1" t="s">
        <v>25</v>
      </c>
      <c r="G1419" s="1" t="s">
        <v>32</v>
      </c>
      <c r="H1419" s="1" t="s">
        <v>54</v>
      </c>
      <c r="I1419">
        <v>1</v>
      </c>
      <c r="J1419">
        <v>15176.19</v>
      </c>
      <c r="K1419">
        <v>0.1</v>
      </c>
      <c r="L1419">
        <v>2927.49</v>
      </c>
      <c r="M1419" s="1" t="s">
        <v>28</v>
      </c>
    </row>
    <row r="1420" spans="1:13" x14ac:dyDescent="0.3">
      <c r="A1420" s="1" t="s">
        <v>2246</v>
      </c>
      <c r="B1420" s="2">
        <v>45886</v>
      </c>
      <c r="C1420" s="1" t="s">
        <v>2053</v>
      </c>
      <c r="D1420" s="1" t="s">
        <v>2054</v>
      </c>
      <c r="E1420" s="1" t="s">
        <v>37</v>
      </c>
      <c r="F1420" s="1" t="s">
        <v>25</v>
      </c>
      <c r="G1420" s="1" t="s">
        <v>26</v>
      </c>
      <c r="H1420" s="1" t="s">
        <v>231</v>
      </c>
      <c r="I1420">
        <v>3</v>
      </c>
      <c r="J1420">
        <v>8292.11</v>
      </c>
      <c r="K1420">
        <v>0.15</v>
      </c>
      <c r="L1420">
        <v>1744.24</v>
      </c>
      <c r="M1420" s="1" t="s">
        <v>28</v>
      </c>
    </row>
    <row r="1421" spans="1:13" x14ac:dyDescent="0.3">
      <c r="A1421" s="1" t="s">
        <v>2247</v>
      </c>
      <c r="B1421" s="2">
        <v>45765</v>
      </c>
      <c r="C1421" s="1" t="s">
        <v>476</v>
      </c>
      <c r="D1421" s="1" t="s">
        <v>477</v>
      </c>
      <c r="E1421" s="1" t="s">
        <v>43</v>
      </c>
      <c r="F1421" s="1" t="s">
        <v>25</v>
      </c>
      <c r="G1421" s="1" t="s">
        <v>26</v>
      </c>
      <c r="H1421" s="1" t="s">
        <v>86</v>
      </c>
      <c r="I1421">
        <v>4</v>
      </c>
      <c r="J1421">
        <v>13413.27</v>
      </c>
      <c r="K1421">
        <v>0.15</v>
      </c>
      <c r="L1421">
        <v>3809.18</v>
      </c>
      <c r="M1421" s="1" t="s">
        <v>28</v>
      </c>
    </row>
    <row r="1422" spans="1:13" x14ac:dyDescent="0.3">
      <c r="A1422" s="1" t="s">
        <v>2248</v>
      </c>
      <c r="B1422" s="2">
        <v>45829</v>
      </c>
      <c r="C1422" s="1" t="s">
        <v>1446</v>
      </c>
      <c r="D1422" s="1" t="s">
        <v>1447</v>
      </c>
      <c r="E1422" s="1" t="s">
        <v>37</v>
      </c>
      <c r="F1422" s="1" t="s">
        <v>69</v>
      </c>
      <c r="G1422" s="1" t="s">
        <v>26</v>
      </c>
      <c r="H1422" s="1" t="s">
        <v>27</v>
      </c>
      <c r="I1422">
        <v>10</v>
      </c>
      <c r="J1422">
        <v>45998.69</v>
      </c>
      <c r="K1422">
        <v>0.05</v>
      </c>
      <c r="L1422">
        <v>10372.16</v>
      </c>
      <c r="M1422" s="1" t="s">
        <v>20</v>
      </c>
    </row>
    <row r="1423" spans="1:13" x14ac:dyDescent="0.3">
      <c r="A1423" s="1" t="s">
        <v>2249</v>
      </c>
      <c r="B1423" s="2">
        <v>45759</v>
      </c>
      <c r="C1423" s="1" t="s">
        <v>770</v>
      </c>
      <c r="D1423" s="1" t="s">
        <v>771</v>
      </c>
      <c r="E1423" s="1" t="s">
        <v>37</v>
      </c>
      <c r="F1423" s="1" t="s">
        <v>25</v>
      </c>
      <c r="G1423" s="1" t="s">
        <v>44</v>
      </c>
      <c r="H1423" s="1" t="s">
        <v>45</v>
      </c>
      <c r="I1423">
        <v>2</v>
      </c>
      <c r="J1423">
        <v>17221.21</v>
      </c>
      <c r="K1423">
        <v>0.15</v>
      </c>
      <c r="L1423">
        <v>2321.29</v>
      </c>
      <c r="M1423" s="1" t="s">
        <v>50</v>
      </c>
    </row>
    <row r="1424" spans="1:13" x14ac:dyDescent="0.3">
      <c r="A1424" s="1" t="s">
        <v>2250</v>
      </c>
      <c r="B1424" s="2">
        <v>46011</v>
      </c>
      <c r="C1424" s="1" t="s">
        <v>402</v>
      </c>
      <c r="D1424" s="1" t="s">
        <v>403</v>
      </c>
      <c r="E1424" s="1" t="s">
        <v>24</v>
      </c>
      <c r="F1424" s="1" t="s">
        <v>25</v>
      </c>
      <c r="G1424" s="1" t="s">
        <v>44</v>
      </c>
      <c r="H1424" s="1" t="s">
        <v>45</v>
      </c>
      <c r="I1424">
        <v>3</v>
      </c>
      <c r="J1424">
        <v>26034.400000000001</v>
      </c>
      <c r="K1424">
        <v>0.15</v>
      </c>
      <c r="L1424">
        <v>4255.7299999999996</v>
      </c>
      <c r="M1424" s="1" t="s">
        <v>55</v>
      </c>
    </row>
    <row r="1425" spans="1:13" x14ac:dyDescent="0.3">
      <c r="A1425" s="1" t="s">
        <v>2251</v>
      </c>
      <c r="B1425" s="2">
        <v>45669</v>
      </c>
      <c r="C1425" s="1" t="s">
        <v>1757</v>
      </c>
      <c r="D1425" s="1" t="s">
        <v>1758</v>
      </c>
      <c r="E1425" s="1" t="s">
        <v>74</v>
      </c>
      <c r="F1425" s="1" t="s">
        <v>69</v>
      </c>
      <c r="G1425" s="1" t="s">
        <v>26</v>
      </c>
      <c r="H1425" s="1" t="s">
        <v>231</v>
      </c>
      <c r="I1425">
        <v>10</v>
      </c>
      <c r="J1425">
        <v>23179.09</v>
      </c>
      <c r="K1425">
        <v>0.25</v>
      </c>
      <c r="L1425">
        <v>6339.47</v>
      </c>
      <c r="M1425" s="1" t="s">
        <v>28</v>
      </c>
    </row>
    <row r="1426" spans="1:13" x14ac:dyDescent="0.3">
      <c r="A1426" s="1" t="s">
        <v>2252</v>
      </c>
      <c r="B1426" s="2">
        <v>45932</v>
      </c>
      <c r="C1426" s="1" t="s">
        <v>875</v>
      </c>
      <c r="D1426" s="1" t="s">
        <v>876</v>
      </c>
      <c r="E1426" s="1" t="s">
        <v>43</v>
      </c>
      <c r="F1426" s="1" t="s">
        <v>17</v>
      </c>
      <c r="G1426" s="1" t="s">
        <v>44</v>
      </c>
      <c r="H1426" s="1" t="s">
        <v>155</v>
      </c>
      <c r="I1426">
        <v>6</v>
      </c>
      <c r="J1426">
        <v>39205.949999999997</v>
      </c>
      <c r="K1426">
        <v>0.2</v>
      </c>
      <c r="L1426">
        <v>6417.68</v>
      </c>
      <c r="M1426" s="1" t="s">
        <v>50</v>
      </c>
    </row>
    <row r="1427" spans="1:13" x14ac:dyDescent="0.3">
      <c r="A1427" s="1" t="s">
        <v>2253</v>
      </c>
      <c r="B1427" s="2">
        <v>45758</v>
      </c>
      <c r="C1427" s="1" t="s">
        <v>2254</v>
      </c>
      <c r="D1427" s="1" t="s">
        <v>2255</v>
      </c>
      <c r="E1427" s="1" t="s">
        <v>74</v>
      </c>
      <c r="F1427" s="1" t="s">
        <v>69</v>
      </c>
      <c r="G1427" s="1" t="s">
        <v>32</v>
      </c>
      <c r="H1427" s="1" t="s">
        <v>33</v>
      </c>
      <c r="I1427">
        <v>2</v>
      </c>
      <c r="J1427">
        <v>17116.900000000001</v>
      </c>
      <c r="K1427">
        <v>0.05</v>
      </c>
      <c r="L1427">
        <v>3318.5</v>
      </c>
      <c r="M1427" s="1" t="s">
        <v>39</v>
      </c>
    </row>
    <row r="1428" spans="1:13" x14ac:dyDescent="0.3">
      <c r="A1428" s="1" t="s">
        <v>2256</v>
      </c>
      <c r="B1428" s="2">
        <v>45701</v>
      </c>
      <c r="C1428" s="1" t="s">
        <v>2257</v>
      </c>
      <c r="D1428" s="1" t="s">
        <v>2258</v>
      </c>
      <c r="E1428" s="1" t="s">
        <v>37</v>
      </c>
      <c r="F1428" s="1" t="s">
        <v>17</v>
      </c>
      <c r="G1428" s="1" t="s">
        <v>32</v>
      </c>
      <c r="H1428" s="1" t="s">
        <v>79</v>
      </c>
      <c r="I1428">
        <v>3</v>
      </c>
      <c r="J1428">
        <v>26743.22</v>
      </c>
      <c r="K1428">
        <v>0</v>
      </c>
      <c r="L1428">
        <v>6459</v>
      </c>
      <c r="M1428" s="1" t="s">
        <v>28</v>
      </c>
    </row>
    <row r="1429" spans="1:13" x14ac:dyDescent="0.3">
      <c r="A1429" s="1" t="s">
        <v>2259</v>
      </c>
      <c r="B1429" s="2">
        <v>45962</v>
      </c>
      <c r="C1429" s="1" t="s">
        <v>1490</v>
      </c>
      <c r="D1429" s="1" t="s">
        <v>1491</v>
      </c>
      <c r="E1429" s="1" t="s">
        <v>43</v>
      </c>
      <c r="F1429" s="1" t="s">
        <v>69</v>
      </c>
      <c r="G1429" s="1" t="s">
        <v>26</v>
      </c>
      <c r="H1429" s="1" t="s">
        <v>231</v>
      </c>
      <c r="I1429">
        <v>8</v>
      </c>
      <c r="J1429">
        <v>17916.830000000002</v>
      </c>
      <c r="K1429">
        <v>0.15</v>
      </c>
      <c r="L1429">
        <v>5255.91</v>
      </c>
      <c r="M1429" s="1" t="s">
        <v>28</v>
      </c>
    </row>
    <row r="1430" spans="1:13" x14ac:dyDescent="0.3">
      <c r="A1430" s="1" t="s">
        <v>2260</v>
      </c>
      <c r="B1430" s="2">
        <v>45674</v>
      </c>
      <c r="C1430" s="1" t="s">
        <v>416</v>
      </c>
      <c r="D1430" s="1" t="s">
        <v>417</v>
      </c>
      <c r="E1430" s="1" t="s">
        <v>37</v>
      </c>
      <c r="F1430" s="1" t="s">
        <v>69</v>
      </c>
      <c r="G1430" s="1" t="s">
        <v>44</v>
      </c>
      <c r="H1430" s="1" t="s">
        <v>90</v>
      </c>
      <c r="I1430">
        <v>5</v>
      </c>
      <c r="J1430">
        <v>48302.2</v>
      </c>
      <c r="K1430">
        <v>0.05</v>
      </c>
      <c r="L1430">
        <v>8912.89</v>
      </c>
      <c r="M1430" s="1" t="s">
        <v>20</v>
      </c>
    </row>
    <row r="1431" spans="1:13" x14ac:dyDescent="0.3">
      <c r="A1431" s="1" t="s">
        <v>2261</v>
      </c>
      <c r="B1431" s="2">
        <v>45987</v>
      </c>
      <c r="C1431" s="1" t="s">
        <v>745</v>
      </c>
      <c r="D1431" s="1" t="s">
        <v>746</v>
      </c>
      <c r="E1431" s="1" t="s">
        <v>24</v>
      </c>
      <c r="F1431" s="1" t="s">
        <v>25</v>
      </c>
      <c r="G1431" s="1" t="s">
        <v>26</v>
      </c>
      <c r="H1431" s="1" t="s">
        <v>49</v>
      </c>
      <c r="I1431">
        <v>10</v>
      </c>
      <c r="J1431">
        <v>30296.03</v>
      </c>
      <c r="K1431">
        <v>0</v>
      </c>
      <c r="L1431">
        <v>8595.2099999999991</v>
      </c>
      <c r="M1431" s="1" t="s">
        <v>50</v>
      </c>
    </row>
    <row r="1432" spans="1:13" x14ac:dyDescent="0.3">
      <c r="A1432" s="1" t="s">
        <v>2262</v>
      </c>
      <c r="B1432" s="2">
        <v>45714</v>
      </c>
      <c r="C1432" s="1" t="s">
        <v>1000</v>
      </c>
      <c r="D1432" s="1" t="s">
        <v>1001</v>
      </c>
      <c r="E1432" s="1" t="s">
        <v>24</v>
      </c>
      <c r="F1432" s="1" t="s">
        <v>25</v>
      </c>
      <c r="G1432" s="1" t="s">
        <v>44</v>
      </c>
      <c r="H1432" s="1" t="s">
        <v>70</v>
      </c>
      <c r="I1432">
        <v>3</v>
      </c>
      <c r="J1432">
        <v>15727.79</v>
      </c>
      <c r="K1432">
        <v>0.05</v>
      </c>
      <c r="L1432">
        <v>2465.44</v>
      </c>
      <c r="M1432" s="1" t="s">
        <v>28</v>
      </c>
    </row>
    <row r="1433" spans="1:13" x14ac:dyDescent="0.3">
      <c r="A1433" s="1" t="s">
        <v>2263</v>
      </c>
      <c r="B1433" s="2">
        <v>45968</v>
      </c>
      <c r="C1433" s="1" t="s">
        <v>61</v>
      </c>
      <c r="D1433" s="1" t="s">
        <v>62</v>
      </c>
      <c r="E1433" s="1" t="s">
        <v>24</v>
      </c>
      <c r="F1433" s="1" t="s">
        <v>69</v>
      </c>
      <c r="G1433" s="1" t="s">
        <v>18</v>
      </c>
      <c r="H1433" s="1" t="s">
        <v>122</v>
      </c>
      <c r="I1433">
        <v>10</v>
      </c>
      <c r="J1433">
        <v>12052.84</v>
      </c>
      <c r="K1433">
        <v>0.2</v>
      </c>
      <c r="L1433">
        <v>3378.19</v>
      </c>
      <c r="M1433" s="1" t="s">
        <v>28</v>
      </c>
    </row>
    <row r="1434" spans="1:13" x14ac:dyDescent="0.3">
      <c r="A1434" s="1" t="s">
        <v>2264</v>
      </c>
      <c r="B1434" s="2">
        <v>45960</v>
      </c>
      <c r="C1434" s="1" t="s">
        <v>1182</v>
      </c>
      <c r="D1434" s="1" t="s">
        <v>1183</v>
      </c>
      <c r="E1434" s="1" t="s">
        <v>74</v>
      </c>
      <c r="F1434" s="1" t="s">
        <v>17</v>
      </c>
      <c r="G1434" s="1" t="s">
        <v>44</v>
      </c>
      <c r="H1434" s="1" t="s">
        <v>155</v>
      </c>
      <c r="I1434">
        <v>9</v>
      </c>
      <c r="J1434">
        <v>86565.43</v>
      </c>
      <c r="K1434">
        <v>0.25</v>
      </c>
      <c r="L1434">
        <v>19318.189999999999</v>
      </c>
      <c r="M1434" s="1" t="s">
        <v>50</v>
      </c>
    </row>
    <row r="1435" spans="1:13" x14ac:dyDescent="0.3">
      <c r="A1435" s="1" t="s">
        <v>2265</v>
      </c>
      <c r="B1435" s="2">
        <v>45669</v>
      </c>
      <c r="C1435" s="1" t="s">
        <v>57</v>
      </c>
      <c r="D1435" s="1" t="s">
        <v>58</v>
      </c>
      <c r="E1435" s="1" t="s">
        <v>37</v>
      </c>
      <c r="F1435" s="1" t="s">
        <v>69</v>
      </c>
      <c r="G1435" s="1" t="s">
        <v>44</v>
      </c>
      <c r="H1435" s="1" t="s">
        <v>90</v>
      </c>
      <c r="I1435">
        <v>7</v>
      </c>
      <c r="J1435">
        <v>89908.9</v>
      </c>
      <c r="K1435">
        <v>0.1</v>
      </c>
      <c r="L1435">
        <v>17899.13</v>
      </c>
      <c r="M1435" s="1" t="s">
        <v>50</v>
      </c>
    </row>
    <row r="1436" spans="1:13" x14ac:dyDescent="0.3">
      <c r="A1436" s="1" t="s">
        <v>2266</v>
      </c>
      <c r="B1436" s="2">
        <v>45975</v>
      </c>
      <c r="C1436" s="1" t="s">
        <v>41</v>
      </c>
      <c r="D1436" s="1" t="s">
        <v>42</v>
      </c>
      <c r="E1436" s="1" t="s">
        <v>43</v>
      </c>
      <c r="F1436" s="1" t="s">
        <v>25</v>
      </c>
      <c r="G1436" s="1" t="s">
        <v>32</v>
      </c>
      <c r="H1436" s="1" t="s">
        <v>54</v>
      </c>
      <c r="I1436">
        <v>10</v>
      </c>
      <c r="J1436">
        <v>169035.03</v>
      </c>
      <c r="K1436">
        <v>0</v>
      </c>
      <c r="L1436">
        <v>29824.12</v>
      </c>
      <c r="M1436" s="1" t="s">
        <v>28</v>
      </c>
    </row>
    <row r="1437" spans="1:13" x14ac:dyDescent="0.3">
      <c r="A1437" s="1" t="s">
        <v>2267</v>
      </c>
      <c r="B1437" s="2">
        <v>45737</v>
      </c>
      <c r="C1437" s="1" t="s">
        <v>554</v>
      </c>
      <c r="D1437" s="1" t="s">
        <v>555</v>
      </c>
      <c r="E1437" s="1" t="s">
        <v>43</v>
      </c>
      <c r="F1437" s="1" t="s">
        <v>17</v>
      </c>
      <c r="G1437" s="1" t="s">
        <v>18</v>
      </c>
      <c r="H1437" s="1" t="s">
        <v>141</v>
      </c>
      <c r="I1437">
        <v>9</v>
      </c>
      <c r="J1437">
        <v>15482.57</v>
      </c>
      <c r="K1437">
        <v>0.15</v>
      </c>
      <c r="L1437">
        <v>4008.17</v>
      </c>
      <c r="M1437" s="1" t="s">
        <v>55</v>
      </c>
    </row>
    <row r="1438" spans="1:13" x14ac:dyDescent="0.3">
      <c r="A1438" s="1" t="s">
        <v>2268</v>
      </c>
      <c r="B1438" s="2">
        <v>45873</v>
      </c>
      <c r="C1438" s="1" t="s">
        <v>1182</v>
      </c>
      <c r="D1438" s="1" t="s">
        <v>1183</v>
      </c>
      <c r="E1438" s="1" t="s">
        <v>74</v>
      </c>
      <c r="F1438" s="1" t="s">
        <v>25</v>
      </c>
      <c r="G1438" s="1" t="s">
        <v>18</v>
      </c>
      <c r="H1438" s="1" t="s">
        <v>145</v>
      </c>
      <c r="I1438">
        <v>10</v>
      </c>
      <c r="J1438">
        <v>21183.37</v>
      </c>
      <c r="K1438">
        <v>0</v>
      </c>
      <c r="L1438">
        <v>5274.01</v>
      </c>
      <c r="M1438" s="1" t="s">
        <v>55</v>
      </c>
    </row>
    <row r="1439" spans="1:13" x14ac:dyDescent="0.3">
      <c r="A1439" s="1" t="s">
        <v>2269</v>
      </c>
      <c r="B1439" s="2">
        <v>45996</v>
      </c>
      <c r="C1439" s="1" t="s">
        <v>1757</v>
      </c>
      <c r="D1439" s="1" t="s">
        <v>1758</v>
      </c>
      <c r="E1439" s="1" t="s">
        <v>24</v>
      </c>
      <c r="F1439" s="1" t="s">
        <v>17</v>
      </c>
      <c r="G1439" s="1" t="s">
        <v>32</v>
      </c>
      <c r="H1439" s="1" t="s">
        <v>38</v>
      </c>
      <c r="I1439">
        <v>5</v>
      </c>
      <c r="J1439">
        <v>55461.74</v>
      </c>
      <c r="K1439">
        <v>0.1</v>
      </c>
      <c r="L1439">
        <v>10535.44</v>
      </c>
      <c r="M1439" s="1" t="s">
        <v>28</v>
      </c>
    </row>
    <row r="1440" spans="1:13" x14ac:dyDescent="0.3">
      <c r="A1440" s="1" t="s">
        <v>2270</v>
      </c>
      <c r="B1440" s="2">
        <v>45921</v>
      </c>
      <c r="C1440" s="1" t="s">
        <v>1686</v>
      </c>
      <c r="D1440" s="1" t="s">
        <v>1687</v>
      </c>
      <c r="E1440" s="1" t="s">
        <v>43</v>
      </c>
      <c r="F1440" s="1" t="s">
        <v>69</v>
      </c>
      <c r="G1440" s="1" t="s">
        <v>18</v>
      </c>
      <c r="H1440" s="1" t="s">
        <v>145</v>
      </c>
      <c r="I1440">
        <v>7</v>
      </c>
      <c r="J1440">
        <v>12478.62</v>
      </c>
      <c r="K1440">
        <v>0.25</v>
      </c>
      <c r="L1440">
        <v>3511.89</v>
      </c>
      <c r="M1440" s="1" t="s">
        <v>55</v>
      </c>
    </row>
    <row r="1441" spans="1:13" x14ac:dyDescent="0.3">
      <c r="A1441" s="1" t="s">
        <v>2271</v>
      </c>
      <c r="B1441" s="2">
        <v>45806</v>
      </c>
      <c r="C1441" s="1" t="s">
        <v>2216</v>
      </c>
      <c r="D1441" s="1" t="s">
        <v>2217</v>
      </c>
      <c r="E1441" s="1" t="s">
        <v>24</v>
      </c>
      <c r="F1441" s="1" t="s">
        <v>25</v>
      </c>
      <c r="G1441" s="1" t="s">
        <v>44</v>
      </c>
      <c r="H1441" s="1" t="s">
        <v>70</v>
      </c>
      <c r="I1441">
        <v>6</v>
      </c>
      <c r="J1441">
        <v>58365.25</v>
      </c>
      <c r="K1441">
        <v>0.05</v>
      </c>
      <c r="L1441">
        <v>12633.1</v>
      </c>
      <c r="M1441" s="1" t="s">
        <v>50</v>
      </c>
    </row>
    <row r="1442" spans="1:13" x14ac:dyDescent="0.3">
      <c r="A1442" s="1" t="s">
        <v>2272</v>
      </c>
      <c r="B1442" s="2">
        <v>45738</v>
      </c>
      <c r="C1442" s="1" t="s">
        <v>901</v>
      </c>
      <c r="D1442" s="1" t="s">
        <v>902</v>
      </c>
      <c r="E1442" s="1" t="s">
        <v>24</v>
      </c>
      <c r="F1442" s="1" t="s">
        <v>25</v>
      </c>
      <c r="G1442" s="1" t="s">
        <v>32</v>
      </c>
      <c r="H1442" s="1" t="s">
        <v>33</v>
      </c>
      <c r="I1442">
        <v>3</v>
      </c>
      <c r="J1442">
        <v>33310.339999999997</v>
      </c>
      <c r="K1442">
        <v>0.15</v>
      </c>
      <c r="L1442">
        <v>7135.28</v>
      </c>
      <c r="M1442" s="1" t="s">
        <v>50</v>
      </c>
    </row>
    <row r="1443" spans="1:13" x14ac:dyDescent="0.3">
      <c r="A1443" s="1" t="s">
        <v>2273</v>
      </c>
      <c r="B1443" s="2">
        <v>45872</v>
      </c>
      <c r="C1443" s="1" t="s">
        <v>703</v>
      </c>
      <c r="D1443" s="1" t="s">
        <v>704</v>
      </c>
      <c r="E1443" s="1" t="s">
        <v>16</v>
      </c>
      <c r="F1443" s="1" t="s">
        <v>69</v>
      </c>
      <c r="G1443" s="1" t="s">
        <v>32</v>
      </c>
      <c r="H1443" s="1" t="s">
        <v>54</v>
      </c>
      <c r="I1443">
        <v>6</v>
      </c>
      <c r="J1443">
        <v>103561.67</v>
      </c>
      <c r="K1443">
        <v>0.05</v>
      </c>
      <c r="L1443">
        <v>17811.36</v>
      </c>
      <c r="M1443" s="1" t="s">
        <v>55</v>
      </c>
    </row>
    <row r="1444" spans="1:13" x14ac:dyDescent="0.3">
      <c r="A1444" s="1" t="s">
        <v>2274</v>
      </c>
      <c r="B1444" s="2">
        <v>45855</v>
      </c>
      <c r="C1444" s="1" t="s">
        <v>317</v>
      </c>
      <c r="D1444" s="1" t="s">
        <v>318</v>
      </c>
      <c r="E1444" s="1" t="s">
        <v>16</v>
      </c>
      <c r="F1444" s="1" t="s">
        <v>25</v>
      </c>
      <c r="G1444" s="1" t="s">
        <v>26</v>
      </c>
      <c r="H1444" s="1" t="s">
        <v>49</v>
      </c>
      <c r="I1444">
        <v>3</v>
      </c>
      <c r="J1444">
        <v>8774.1299999999992</v>
      </c>
      <c r="K1444">
        <v>0.15</v>
      </c>
      <c r="L1444">
        <v>2605.86</v>
      </c>
      <c r="M1444" s="1" t="s">
        <v>55</v>
      </c>
    </row>
    <row r="1445" spans="1:13" x14ac:dyDescent="0.3">
      <c r="A1445" s="1" t="s">
        <v>2275</v>
      </c>
      <c r="B1445" s="2">
        <v>45857</v>
      </c>
      <c r="C1445" s="1" t="s">
        <v>613</v>
      </c>
      <c r="D1445" s="1" t="s">
        <v>614</v>
      </c>
      <c r="E1445" s="1" t="s">
        <v>16</v>
      </c>
      <c r="F1445" s="1" t="s">
        <v>69</v>
      </c>
      <c r="G1445" s="1" t="s">
        <v>18</v>
      </c>
      <c r="H1445" s="1" t="s">
        <v>145</v>
      </c>
      <c r="I1445">
        <v>10</v>
      </c>
      <c r="J1445">
        <v>22794.04</v>
      </c>
      <c r="K1445">
        <v>0.05</v>
      </c>
      <c r="L1445">
        <v>6525.41</v>
      </c>
      <c r="M1445" s="1" t="s">
        <v>28</v>
      </c>
    </row>
    <row r="1446" spans="1:13" x14ac:dyDescent="0.3">
      <c r="A1446" s="1" t="s">
        <v>2276</v>
      </c>
      <c r="B1446" s="2">
        <v>45682</v>
      </c>
      <c r="C1446" s="1" t="s">
        <v>454</v>
      </c>
      <c r="D1446" s="1" t="s">
        <v>455</v>
      </c>
      <c r="E1446" s="1" t="s">
        <v>74</v>
      </c>
      <c r="F1446" s="1" t="s">
        <v>25</v>
      </c>
      <c r="G1446" s="1" t="s">
        <v>26</v>
      </c>
      <c r="H1446" s="1" t="s">
        <v>244</v>
      </c>
      <c r="I1446">
        <v>4</v>
      </c>
      <c r="J1446">
        <v>6717.72</v>
      </c>
      <c r="K1446">
        <v>0.2</v>
      </c>
      <c r="L1446">
        <v>1373.3</v>
      </c>
      <c r="M1446" s="1" t="s">
        <v>50</v>
      </c>
    </row>
    <row r="1447" spans="1:13" x14ac:dyDescent="0.3">
      <c r="A1447" s="1" t="s">
        <v>2277</v>
      </c>
      <c r="B1447" s="2">
        <v>45746</v>
      </c>
      <c r="C1447" s="1" t="s">
        <v>1493</v>
      </c>
      <c r="D1447" s="1" t="s">
        <v>1494</v>
      </c>
      <c r="E1447" s="1" t="s">
        <v>24</v>
      </c>
      <c r="F1447" s="1" t="s">
        <v>25</v>
      </c>
      <c r="G1447" s="1" t="s">
        <v>32</v>
      </c>
      <c r="H1447" s="1" t="s">
        <v>54</v>
      </c>
      <c r="I1447">
        <v>3</v>
      </c>
      <c r="J1447">
        <v>45209.19</v>
      </c>
      <c r="K1447">
        <v>0.1</v>
      </c>
      <c r="L1447">
        <v>10731.53</v>
      </c>
      <c r="M1447" s="1" t="s">
        <v>50</v>
      </c>
    </row>
    <row r="1448" spans="1:13" x14ac:dyDescent="0.3">
      <c r="A1448" s="1" t="s">
        <v>2278</v>
      </c>
      <c r="B1448" s="2">
        <v>45925</v>
      </c>
      <c r="C1448" s="1" t="s">
        <v>961</v>
      </c>
      <c r="D1448" s="1" t="s">
        <v>962</v>
      </c>
      <c r="E1448" s="1" t="s">
        <v>16</v>
      </c>
      <c r="F1448" s="1" t="s">
        <v>69</v>
      </c>
      <c r="G1448" s="1" t="s">
        <v>44</v>
      </c>
      <c r="H1448" s="1" t="s">
        <v>90</v>
      </c>
      <c r="I1448">
        <v>6</v>
      </c>
      <c r="J1448">
        <v>29692.51</v>
      </c>
      <c r="K1448">
        <v>0.1</v>
      </c>
      <c r="L1448">
        <v>5147.32</v>
      </c>
      <c r="M1448" s="1" t="s">
        <v>55</v>
      </c>
    </row>
    <row r="1449" spans="1:13" x14ac:dyDescent="0.3">
      <c r="A1449" s="1" t="s">
        <v>2279</v>
      </c>
      <c r="B1449" s="2">
        <v>45800</v>
      </c>
      <c r="C1449" s="1" t="s">
        <v>924</v>
      </c>
      <c r="D1449" s="1" t="s">
        <v>925</v>
      </c>
      <c r="E1449" s="1" t="s">
        <v>43</v>
      </c>
      <c r="F1449" s="1" t="s">
        <v>69</v>
      </c>
      <c r="G1449" s="1" t="s">
        <v>44</v>
      </c>
      <c r="H1449" s="1" t="s">
        <v>75</v>
      </c>
      <c r="I1449">
        <v>5</v>
      </c>
      <c r="J1449">
        <v>43572.72</v>
      </c>
      <c r="K1449">
        <v>0.1</v>
      </c>
      <c r="L1449">
        <v>8437.2000000000007</v>
      </c>
      <c r="M1449" s="1" t="s">
        <v>50</v>
      </c>
    </row>
    <row r="1450" spans="1:13" x14ac:dyDescent="0.3">
      <c r="A1450" s="1" t="s">
        <v>2280</v>
      </c>
      <c r="B1450" s="2">
        <v>45716</v>
      </c>
      <c r="C1450" s="1" t="s">
        <v>1265</v>
      </c>
      <c r="D1450" s="1" t="s">
        <v>1266</v>
      </c>
      <c r="E1450" s="1" t="s">
        <v>37</v>
      </c>
      <c r="F1450" s="1" t="s">
        <v>25</v>
      </c>
      <c r="G1450" s="1" t="s">
        <v>32</v>
      </c>
      <c r="H1450" s="1" t="s">
        <v>79</v>
      </c>
      <c r="I1450">
        <v>9</v>
      </c>
      <c r="J1450">
        <v>100492.36</v>
      </c>
      <c r="K1450">
        <v>0</v>
      </c>
      <c r="L1450">
        <v>24817.759999999998</v>
      </c>
      <c r="M1450" s="1" t="s">
        <v>55</v>
      </c>
    </row>
    <row r="1451" spans="1:13" x14ac:dyDescent="0.3">
      <c r="A1451" s="1" t="s">
        <v>2281</v>
      </c>
      <c r="B1451" s="2">
        <v>46022</v>
      </c>
      <c r="C1451" s="1" t="s">
        <v>451</v>
      </c>
      <c r="D1451" s="1" t="s">
        <v>452</v>
      </c>
      <c r="E1451" s="1" t="s">
        <v>37</v>
      </c>
      <c r="F1451" s="1" t="s">
        <v>17</v>
      </c>
      <c r="G1451" s="1" t="s">
        <v>26</v>
      </c>
      <c r="H1451" s="1" t="s">
        <v>231</v>
      </c>
      <c r="I1451">
        <v>1</v>
      </c>
      <c r="J1451">
        <v>2103.15</v>
      </c>
      <c r="K1451">
        <v>0</v>
      </c>
      <c r="L1451">
        <v>570.5</v>
      </c>
      <c r="M1451" s="1" t="s">
        <v>28</v>
      </c>
    </row>
    <row r="1452" spans="1:13" x14ac:dyDescent="0.3">
      <c r="A1452" s="1" t="s">
        <v>2282</v>
      </c>
      <c r="B1452" s="2">
        <v>45683</v>
      </c>
      <c r="C1452" s="1" t="s">
        <v>1774</v>
      </c>
      <c r="D1452" s="1" t="s">
        <v>1775</v>
      </c>
      <c r="E1452" s="1" t="s">
        <v>43</v>
      </c>
      <c r="F1452" s="1" t="s">
        <v>25</v>
      </c>
      <c r="G1452" s="1" t="s">
        <v>18</v>
      </c>
      <c r="H1452" s="1" t="s">
        <v>19</v>
      </c>
      <c r="I1452">
        <v>5</v>
      </c>
      <c r="J1452">
        <v>5835.51</v>
      </c>
      <c r="K1452">
        <v>0.1</v>
      </c>
      <c r="L1452">
        <v>1793.94</v>
      </c>
      <c r="M1452" s="1" t="s">
        <v>28</v>
      </c>
    </row>
    <row r="1453" spans="1:13" x14ac:dyDescent="0.3">
      <c r="A1453" s="1" t="s">
        <v>2283</v>
      </c>
      <c r="B1453" s="2">
        <v>45704</v>
      </c>
      <c r="C1453" s="1" t="s">
        <v>469</v>
      </c>
      <c r="D1453" s="1" t="s">
        <v>470</v>
      </c>
      <c r="E1453" s="1" t="s">
        <v>74</v>
      </c>
      <c r="F1453" s="1" t="s">
        <v>17</v>
      </c>
      <c r="G1453" s="1" t="s">
        <v>44</v>
      </c>
      <c r="H1453" s="1" t="s">
        <v>70</v>
      </c>
      <c r="I1453">
        <v>9</v>
      </c>
      <c r="J1453">
        <v>97159.13</v>
      </c>
      <c r="K1453">
        <v>0</v>
      </c>
      <c r="L1453">
        <v>15136.13</v>
      </c>
      <c r="M1453" s="1" t="s">
        <v>28</v>
      </c>
    </row>
    <row r="1454" spans="1:13" x14ac:dyDescent="0.3">
      <c r="A1454" s="1" t="s">
        <v>2284</v>
      </c>
      <c r="B1454" s="2">
        <v>45945</v>
      </c>
      <c r="C1454" s="1" t="s">
        <v>413</v>
      </c>
      <c r="D1454" s="1" t="s">
        <v>414</v>
      </c>
      <c r="E1454" s="1" t="s">
        <v>16</v>
      </c>
      <c r="F1454" s="1" t="s">
        <v>25</v>
      </c>
      <c r="G1454" s="1" t="s">
        <v>18</v>
      </c>
      <c r="H1454" s="1" t="s">
        <v>141</v>
      </c>
      <c r="I1454">
        <v>3</v>
      </c>
      <c r="J1454">
        <v>3382.7</v>
      </c>
      <c r="K1454">
        <v>0.2</v>
      </c>
      <c r="L1454">
        <v>1071.45</v>
      </c>
      <c r="M1454" s="1" t="s">
        <v>28</v>
      </c>
    </row>
    <row r="1455" spans="1:13" x14ac:dyDescent="0.3">
      <c r="A1455" s="1" t="s">
        <v>2285</v>
      </c>
      <c r="B1455" s="2">
        <v>45923</v>
      </c>
      <c r="C1455" s="1" t="s">
        <v>285</v>
      </c>
      <c r="D1455" s="1" t="s">
        <v>286</v>
      </c>
      <c r="E1455" s="1" t="s">
        <v>37</v>
      </c>
      <c r="F1455" s="1" t="s">
        <v>25</v>
      </c>
      <c r="G1455" s="1" t="s">
        <v>32</v>
      </c>
      <c r="H1455" s="1" t="s">
        <v>79</v>
      </c>
      <c r="I1455">
        <v>3</v>
      </c>
      <c r="J1455">
        <v>42656.33</v>
      </c>
      <c r="K1455">
        <v>0.15</v>
      </c>
      <c r="L1455">
        <v>8248.11</v>
      </c>
      <c r="M1455" s="1" t="s">
        <v>55</v>
      </c>
    </row>
    <row r="1456" spans="1:13" x14ac:dyDescent="0.3">
      <c r="A1456" s="1" t="s">
        <v>2286</v>
      </c>
      <c r="B1456" s="2">
        <v>45673</v>
      </c>
      <c r="C1456" s="1" t="s">
        <v>994</v>
      </c>
      <c r="D1456" s="1" t="s">
        <v>995</v>
      </c>
      <c r="E1456" s="1" t="s">
        <v>43</v>
      </c>
      <c r="F1456" s="1" t="s">
        <v>69</v>
      </c>
      <c r="G1456" s="1" t="s">
        <v>32</v>
      </c>
      <c r="H1456" s="1" t="s">
        <v>33</v>
      </c>
      <c r="I1456">
        <v>2</v>
      </c>
      <c r="J1456">
        <v>22579.53</v>
      </c>
      <c r="K1456">
        <v>0.2</v>
      </c>
      <c r="L1456">
        <v>5929.4</v>
      </c>
      <c r="M1456" s="1" t="s">
        <v>28</v>
      </c>
    </row>
    <row r="1457" spans="1:13" x14ac:dyDescent="0.3">
      <c r="A1457" s="1" t="s">
        <v>2287</v>
      </c>
      <c r="B1457" s="2">
        <v>45856</v>
      </c>
      <c r="C1457" s="1" t="s">
        <v>736</v>
      </c>
      <c r="D1457" s="1" t="s">
        <v>737</v>
      </c>
      <c r="E1457" s="1" t="s">
        <v>37</v>
      </c>
      <c r="F1457" s="1" t="s">
        <v>17</v>
      </c>
      <c r="G1457" s="1" t="s">
        <v>32</v>
      </c>
      <c r="H1457" s="1" t="s">
        <v>54</v>
      </c>
      <c r="I1457">
        <v>6</v>
      </c>
      <c r="J1457">
        <v>50309.37</v>
      </c>
      <c r="K1457">
        <v>0.05</v>
      </c>
      <c r="L1457">
        <v>9809.7900000000009</v>
      </c>
      <c r="M1457" s="1" t="s">
        <v>55</v>
      </c>
    </row>
    <row r="1458" spans="1:13" x14ac:dyDescent="0.3">
      <c r="A1458" s="1" t="s">
        <v>2288</v>
      </c>
      <c r="B1458" s="2">
        <v>45939</v>
      </c>
      <c r="C1458" s="1" t="s">
        <v>604</v>
      </c>
      <c r="D1458" s="1" t="s">
        <v>605</v>
      </c>
      <c r="E1458" s="1" t="s">
        <v>37</v>
      </c>
      <c r="F1458" s="1" t="s">
        <v>25</v>
      </c>
      <c r="G1458" s="1" t="s">
        <v>44</v>
      </c>
      <c r="H1458" s="1" t="s">
        <v>75</v>
      </c>
      <c r="I1458">
        <v>7</v>
      </c>
      <c r="J1458">
        <v>65202.65</v>
      </c>
      <c r="K1458">
        <v>0.1</v>
      </c>
      <c r="L1458">
        <v>8533.56</v>
      </c>
      <c r="M1458" s="1" t="s">
        <v>28</v>
      </c>
    </row>
    <row r="1459" spans="1:13" x14ac:dyDescent="0.3">
      <c r="A1459" s="1" t="s">
        <v>2289</v>
      </c>
      <c r="B1459" s="2">
        <v>45743</v>
      </c>
      <c r="C1459" s="1" t="s">
        <v>783</v>
      </c>
      <c r="D1459" s="1" t="s">
        <v>784</v>
      </c>
      <c r="E1459" s="1" t="s">
        <v>43</v>
      </c>
      <c r="F1459" s="1" t="s">
        <v>25</v>
      </c>
      <c r="G1459" s="1" t="s">
        <v>32</v>
      </c>
      <c r="H1459" s="1" t="s">
        <v>54</v>
      </c>
      <c r="I1459">
        <v>6</v>
      </c>
      <c r="J1459">
        <v>93152.2</v>
      </c>
      <c r="K1459">
        <v>0.25</v>
      </c>
      <c r="L1459">
        <v>24583.62</v>
      </c>
      <c r="M1459" s="1" t="s">
        <v>28</v>
      </c>
    </row>
    <row r="1460" spans="1:13" x14ac:dyDescent="0.3">
      <c r="A1460" s="1" t="s">
        <v>2290</v>
      </c>
      <c r="B1460" s="2">
        <v>45907</v>
      </c>
      <c r="C1460" s="1" t="s">
        <v>2092</v>
      </c>
      <c r="D1460" s="1" t="s">
        <v>2093</v>
      </c>
      <c r="E1460" s="1" t="s">
        <v>16</v>
      </c>
      <c r="F1460" s="1" t="s">
        <v>69</v>
      </c>
      <c r="G1460" s="1" t="s">
        <v>18</v>
      </c>
      <c r="H1460" s="1" t="s">
        <v>145</v>
      </c>
      <c r="I1460">
        <v>6</v>
      </c>
      <c r="J1460">
        <v>9027.31</v>
      </c>
      <c r="K1460">
        <v>0.15</v>
      </c>
      <c r="L1460">
        <v>2164.37</v>
      </c>
      <c r="M1460" s="1" t="s">
        <v>28</v>
      </c>
    </row>
    <row r="1461" spans="1:13" x14ac:dyDescent="0.3">
      <c r="A1461" s="1" t="s">
        <v>2291</v>
      </c>
      <c r="B1461" s="2">
        <v>45927</v>
      </c>
      <c r="C1461" s="1" t="s">
        <v>105</v>
      </c>
      <c r="D1461" s="1" t="s">
        <v>106</v>
      </c>
      <c r="E1461" s="1" t="s">
        <v>37</v>
      </c>
      <c r="F1461" s="1" t="s">
        <v>25</v>
      </c>
      <c r="G1461" s="1" t="s">
        <v>44</v>
      </c>
      <c r="H1461" s="1" t="s">
        <v>155</v>
      </c>
      <c r="I1461">
        <v>10</v>
      </c>
      <c r="J1461">
        <v>78278.710000000006</v>
      </c>
      <c r="K1461">
        <v>0.2</v>
      </c>
      <c r="L1461">
        <v>16572.599999999999</v>
      </c>
      <c r="M1461" s="1" t="s">
        <v>39</v>
      </c>
    </row>
    <row r="1462" spans="1:13" x14ac:dyDescent="0.3">
      <c r="A1462" s="1" t="s">
        <v>2292</v>
      </c>
      <c r="B1462" s="2">
        <v>45992</v>
      </c>
      <c r="C1462" s="1" t="s">
        <v>88</v>
      </c>
      <c r="D1462" s="1" t="s">
        <v>89</v>
      </c>
      <c r="E1462" s="1" t="s">
        <v>74</v>
      </c>
      <c r="F1462" s="1" t="s">
        <v>25</v>
      </c>
      <c r="G1462" s="1" t="s">
        <v>32</v>
      </c>
      <c r="H1462" s="1" t="s">
        <v>38</v>
      </c>
      <c r="I1462">
        <v>9</v>
      </c>
      <c r="J1462">
        <v>98946.84</v>
      </c>
      <c r="K1462">
        <v>0.2</v>
      </c>
      <c r="L1462">
        <v>21505.32</v>
      </c>
      <c r="M1462" s="1" t="s">
        <v>20</v>
      </c>
    </row>
    <row r="1463" spans="1:13" x14ac:dyDescent="0.3">
      <c r="A1463" s="1" t="s">
        <v>2293</v>
      </c>
      <c r="B1463" s="2">
        <v>45774</v>
      </c>
      <c r="C1463" s="1" t="s">
        <v>72</v>
      </c>
      <c r="D1463" s="1" t="s">
        <v>73</v>
      </c>
      <c r="E1463" s="1" t="s">
        <v>37</v>
      </c>
      <c r="F1463" s="1" t="s">
        <v>25</v>
      </c>
      <c r="G1463" s="1" t="s">
        <v>44</v>
      </c>
      <c r="H1463" s="1" t="s">
        <v>70</v>
      </c>
      <c r="I1463">
        <v>1</v>
      </c>
      <c r="J1463">
        <v>7305.49</v>
      </c>
      <c r="K1463">
        <v>0.1</v>
      </c>
      <c r="L1463">
        <v>1258.26</v>
      </c>
      <c r="M1463" s="1" t="s">
        <v>28</v>
      </c>
    </row>
    <row r="1464" spans="1:13" x14ac:dyDescent="0.3">
      <c r="A1464" s="1" t="s">
        <v>2294</v>
      </c>
      <c r="B1464" s="2">
        <v>45664</v>
      </c>
      <c r="C1464" s="1" t="s">
        <v>936</v>
      </c>
      <c r="D1464" s="1" t="s">
        <v>937</v>
      </c>
      <c r="E1464" s="1" t="s">
        <v>37</v>
      </c>
      <c r="F1464" s="1" t="s">
        <v>25</v>
      </c>
      <c r="G1464" s="1" t="s">
        <v>18</v>
      </c>
      <c r="H1464" s="1" t="s">
        <v>141</v>
      </c>
      <c r="I1464">
        <v>8</v>
      </c>
      <c r="J1464">
        <v>10907.09</v>
      </c>
      <c r="K1464">
        <v>0.05</v>
      </c>
      <c r="L1464">
        <v>3544.72</v>
      </c>
      <c r="M1464" s="1" t="s">
        <v>28</v>
      </c>
    </row>
    <row r="1465" spans="1:13" x14ac:dyDescent="0.3">
      <c r="A1465" s="1" t="s">
        <v>2295</v>
      </c>
      <c r="B1465" s="2">
        <v>45794</v>
      </c>
      <c r="C1465" s="1" t="s">
        <v>187</v>
      </c>
      <c r="D1465" s="1" t="s">
        <v>188</v>
      </c>
      <c r="E1465" s="1" t="s">
        <v>24</v>
      </c>
      <c r="F1465" s="1" t="s">
        <v>69</v>
      </c>
      <c r="G1465" s="1" t="s">
        <v>32</v>
      </c>
      <c r="H1465" s="1" t="s">
        <v>79</v>
      </c>
      <c r="I1465">
        <v>7</v>
      </c>
      <c r="J1465">
        <v>98302.05</v>
      </c>
      <c r="K1465">
        <v>0.2</v>
      </c>
      <c r="L1465">
        <v>17106.98</v>
      </c>
      <c r="M1465" s="1" t="s">
        <v>28</v>
      </c>
    </row>
    <row r="1466" spans="1:13" x14ac:dyDescent="0.3">
      <c r="A1466" s="1" t="s">
        <v>2296</v>
      </c>
      <c r="B1466" s="2">
        <v>45833</v>
      </c>
      <c r="C1466" s="1" t="s">
        <v>504</v>
      </c>
      <c r="D1466" s="1" t="s">
        <v>505</v>
      </c>
      <c r="E1466" s="1" t="s">
        <v>43</v>
      </c>
      <c r="F1466" s="1" t="s">
        <v>25</v>
      </c>
      <c r="G1466" s="1" t="s">
        <v>18</v>
      </c>
      <c r="H1466" s="1" t="s">
        <v>141</v>
      </c>
      <c r="I1466">
        <v>1</v>
      </c>
      <c r="J1466">
        <v>898.26</v>
      </c>
      <c r="K1466">
        <v>0.1</v>
      </c>
      <c r="L1466">
        <v>269.91000000000003</v>
      </c>
      <c r="M1466" s="1" t="s">
        <v>28</v>
      </c>
    </row>
    <row r="1467" spans="1:13" x14ac:dyDescent="0.3">
      <c r="A1467" s="1" t="s">
        <v>2297</v>
      </c>
      <c r="B1467" s="2">
        <v>45985</v>
      </c>
      <c r="C1467" s="1" t="s">
        <v>939</v>
      </c>
      <c r="D1467" s="1" t="s">
        <v>940</v>
      </c>
      <c r="E1467" s="1" t="s">
        <v>74</v>
      </c>
      <c r="F1467" s="1" t="s">
        <v>25</v>
      </c>
      <c r="G1467" s="1" t="s">
        <v>44</v>
      </c>
      <c r="H1467" s="1" t="s">
        <v>155</v>
      </c>
      <c r="I1467">
        <v>8</v>
      </c>
      <c r="J1467">
        <v>87539.17</v>
      </c>
      <c r="K1467">
        <v>0.15</v>
      </c>
      <c r="L1467">
        <v>19130.87</v>
      </c>
      <c r="M1467" s="1" t="s">
        <v>50</v>
      </c>
    </row>
    <row r="1468" spans="1:13" x14ac:dyDescent="0.3">
      <c r="A1468" s="1" t="s">
        <v>2298</v>
      </c>
      <c r="B1468" s="2">
        <v>45972</v>
      </c>
      <c r="C1468" s="1" t="s">
        <v>674</v>
      </c>
      <c r="D1468" s="1" t="s">
        <v>675</v>
      </c>
      <c r="E1468" s="1" t="s">
        <v>37</v>
      </c>
      <c r="F1468" s="1" t="s">
        <v>25</v>
      </c>
      <c r="G1468" s="1" t="s">
        <v>26</v>
      </c>
      <c r="H1468" s="1" t="s">
        <v>49</v>
      </c>
      <c r="I1468">
        <v>4</v>
      </c>
      <c r="J1468">
        <v>16151.56</v>
      </c>
      <c r="K1468">
        <v>0.15</v>
      </c>
      <c r="L1468">
        <v>3289.74</v>
      </c>
      <c r="M1468" s="1" t="s">
        <v>55</v>
      </c>
    </row>
    <row r="1469" spans="1:13" x14ac:dyDescent="0.3">
      <c r="A1469" s="1" t="s">
        <v>2299</v>
      </c>
      <c r="B1469" s="2">
        <v>45872</v>
      </c>
      <c r="C1469" s="1" t="s">
        <v>309</v>
      </c>
      <c r="D1469" s="1" t="s">
        <v>310</v>
      </c>
      <c r="E1469" s="1" t="s">
        <v>37</v>
      </c>
      <c r="F1469" s="1" t="s">
        <v>25</v>
      </c>
      <c r="G1469" s="1" t="s">
        <v>26</v>
      </c>
      <c r="H1469" s="1" t="s">
        <v>244</v>
      </c>
      <c r="I1469">
        <v>1</v>
      </c>
      <c r="J1469">
        <v>2767.23</v>
      </c>
      <c r="K1469">
        <v>0.1</v>
      </c>
      <c r="L1469">
        <v>635.59</v>
      </c>
      <c r="M1469" s="1" t="s">
        <v>28</v>
      </c>
    </row>
    <row r="1470" spans="1:13" x14ac:dyDescent="0.3">
      <c r="A1470" s="1" t="s">
        <v>2300</v>
      </c>
      <c r="B1470" s="2">
        <v>45739</v>
      </c>
      <c r="C1470" s="1" t="s">
        <v>679</v>
      </c>
      <c r="D1470" s="1" t="s">
        <v>680</v>
      </c>
      <c r="E1470" s="1" t="s">
        <v>24</v>
      </c>
      <c r="F1470" s="1" t="s">
        <v>25</v>
      </c>
      <c r="G1470" s="1" t="s">
        <v>32</v>
      </c>
      <c r="H1470" s="1" t="s">
        <v>59</v>
      </c>
      <c r="I1470">
        <v>1</v>
      </c>
      <c r="J1470">
        <v>8995.02</v>
      </c>
      <c r="K1470">
        <v>0.25</v>
      </c>
      <c r="L1470">
        <v>2049.4899999999998</v>
      </c>
      <c r="M1470" s="1" t="s">
        <v>39</v>
      </c>
    </row>
    <row r="1471" spans="1:13" x14ac:dyDescent="0.3">
      <c r="A1471" s="1" t="s">
        <v>2301</v>
      </c>
      <c r="B1471" s="2">
        <v>45880</v>
      </c>
      <c r="C1471" s="1" t="s">
        <v>2147</v>
      </c>
      <c r="D1471" s="1" t="s">
        <v>2148</v>
      </c>
      <c r="E1471" s="1" t="s">
        <v>16</v>
      </c>
      <c r="F1471" s="1" t="s">
        <v>25</v>
      </c>
      <c r="G1471" s="1" t="s">
        <v>18</v>
      </c>
      <c r="H1471" s="1" t="s">
        <v>97</v>
      </c>
      <c r="I1471">
        <v>7</v>
      </c>
      <c r="J1471">
        <v>6987.1</v>
      </c>
      <c r="K1471">
        <v>0.2</v>
      </c>
      <c r="L1471">
        <v>2296.5300000000002</v>
      </c>
      <c r="M1471" s="1" t="s">
        <v>28</v>
      </c>
    </row>
    <row r="1472" spans="1:13" x14ac:dyDescent="0.3">
      <c r="A1472" s="1" t="s">
        <v>2302</v>
      </c>
      <c r="B1472" s="2">
        <v>45760</v>
      </c>
      <c r="C1472" s="1" t="s">
        <v>501</v>
      </c>
      <c r="D1472" s="1" t="s">
        <v>502</v>
      </c>
      <c r="E1472" s="1" t="s">
        <v>16</v>
      </c>
      <c r="F1472" s="1" t="s">
        <v>25</v>
      </c>
      <c r="G1472" s="1" t="s">
        <v>32</v>
      </c>
      <c r="H1472" s="1" t="s">
        <v>79</v>
      </c>
      <c r="I1472">
        <v>2</v>
      </c>
      <c r="J1472">
        <v>26773.21</v>
      </c>
      <c r="K1472">
        <v>0.05</v>
      </c>
      <c r="L1472">
        <v>5493.61</v>
      </c>
      <c r="M1472" s="1" t="s">
        <v>28</v>
      </c>
    </row>
    <row r="1473" spans="1:13" x14ac:dyDescent="0.3">
      <c r="A1473" s="1" t="s">
        <v>2303</v>
      </c>
      <c r="B1473" s="2">
        <v>45930</v>
      </c>
      <c r="C1473" s="1" t="s">
        <v>880</v>
      </c>
      <c r="D1473" s="1" t="s">
        <v>881</v>
      </c>
      <c r="E1473" s="1" t="s">
        <v>74</v>
      </c>
      <c r="F1473" s="1" t="s">
        <v>25</v>
      </c>
      <c r="G1473" s="1" t="s">
        <v>18</v>
      </c>
      <c r="H1473" s="1" t="s">
        <v>145</v>
      </c>
      <c r="I1473">
        <v>10</v>
      </c>
      <c r="J1473">
        <v>8500.0499999999993</v>
      </c>
      <c r="K1473">
        <v>0.2</v>
      </c>
      <c r="L1473">
        <v>2471.54</v>
      </c>
      <c r="M1473" s="1" t="s">
        <v>55</v>
      </c>
    </row>
    <row r="1474" spans="1:13" x14ac:dyDescent="0.3">
      <c r="A1474" s="1" t="s">
        <v>2304</v>
      </c>
      <c r="B1474" s="2">
        <v>45671</v>
      </c>
      <c r="C1474" s="1" t="s">
        <v>1793</v>
      </c>
      <c r="D1474" s="1" t="s">
        <v>1794</v>
      </c>
      <c r="E1474" s="1" t="s">
        <v>37</v>
      </c>
      <c r="F1474" s="1" t="s">
        <v>17</v>
      </c>
      <c r="G1474" s="1" t="s">
        <v>26</v>
      </c>
      <c r="H1474" s="1" t="s">
        <v>49</v>
      </c>
      <c r="I1474">
        <v>5</v>
      </c>
      <c r="J1474">
        <v>17019.32</v>
      </c>
      <c r="K1474">
        <v>0.2</v>
      </c>
      <c r="L1474">
        <v>4606.33</v>
      </c>
      <c r="M1474" s="1" t="s">
        <v>20</v>
      </c>
    </row>
    <row r="1475" spans="1:13" x14ac:dyDescent="0.3">
      <c r="A1475" s="1" t="s">
        <v>2305</v>
      </c>
      <c r="B1475" s="2">
        <v>45816</v>
      </c>
      <c r="C1475" s="1" t="s">
        <v>609</v>
      </c>
      <c r="D1475" s="1" t="s">
        <v>610</v>
      </c>
      <c r="E1475" s="1" t="s">
        <v>37</v>
      </c>
      <c r="F1475" s="1" t="s">
        <v>25</v>
      </c>
      <c r="G1475" s="1" t="s">
        <v>18</v>
      </c>
      <c r="H1475" s="1" t="s">
        <v>97</v>
      </c>
      <c r="I1475">
        <v>4</v>
      </c>
      <c r="J1475">
        <v>7130.09</v>
      </c>
      <c r="K1475">
        <v>0.05</v>
      </c>
      <c r="L1475">
        <v>2111.14</v>
      </c>
      <c r="M1475" s="1" t="s">
        <v>50</v>
      </c>
    </row>
    <row r="1476" spans="1:13" x14ac:dyDescent="0.3">
      <c r="A1476" s="1" t="s">
        <v>2306</v>
      </c>
      <c r="B1476" s="2">
        <v>45809</v>
      </c>
      <c r="C1476" s="1" t="s">
        <v>190</v>
      </c>
      <c r="D1476" s="1" t="s">
        <v>191</v>
      </c>
      <c r="E1476" s="1" t="s">
        <v>37</v>
      </c>
      <c r="F1476" s="1" t="s">
        <v>69</v>
      </c>
      <c r="G1476" s="1" t="s">
        <v>32</v>
      </c>
      <c r="H1476" s="1" t="s">
        <v>79</v>
      </c>
      <c r="I1476">
        <v>9</v>
      </c>
      <c r="J1476">
        <v>135522.38</v>
      </c>
      <c r="K1476">
        <v>0.1</v>
      </c>
      <c r="L1476">
        <v>27159.64</v>
      </c>
      <c r="M1476" s="1" t="s">
        <v>28</v>
      </c>
    </row>
    <row r="1477" spans="1:13" x14ac:dyDescent="0.3">
      <c r="A1477" s="1" t="s">
        <v>2307</v>
      </c>
      <c r="B1477" s="2">
        <v>45765</v>
      </c>
      <c r="C1477" s="1" t="s">
        <v>108</v>
      </c>
      <c r="D1477" s="1" t="s">
        <v>109</v>
      </c>
      <c r="E1477" s="1" t="s">
        <v>74</v>
      </c>
      <c r="F1477" s="1" t="s">
        <v>69</v>
      </c>
      <c r="G1477" s="1" t="s">
        <v>26</v>
      </c>
      <c r="H1477" s="1" t="s">
        <v>86</v>
      </c>
      <c r="I1477">
        <v>3</v>
      </c>
      <c r="J1477">
        <v>5441.67</v>
      </c>
      <c r="K1477">
        <v>0.15</v>
      </c>
      <c r="L1477">
        <v>1623.53</v>
      </c>
      <c r="M1477" s="1" t="s">
        <v>28</v>
      </c>
    </row>
    <row r="1478" spans="1:13" x14ac:dyDescent="0.3">
      <c r="A1478" s="1" t="s">
        <v>2308</v>
      </c>
      <c r="B1478" s="2">
        <v>45845</v>
      </c>
      <c r="C1478" s="1" t="s">
        <v>498</v>
      </c>
      <c r="D1478" s="1" t="s">
        <v>499</v>
      </c>
      <c r="E1478" s="1" t="s">
        <v>43</v>
      </c>
      <c r="F1478" s="1" t="s">
        <v>17</v>
      </c>
      <c r="G1478" s="1" t="s">
        <v>44</v>
      </c>
      <c r="H1478" s="1" t="s">
        <v>90</v>
      </c>
      <c r="I1478">
        <v>6</v>
      </c>
      <c r="J1478">
        <v>41017.4</v>
      </c>
      <c r="K1478">
        <v>0.05</v>
      </c>
      <c r="L1478">
        <v>7106.19</v>
      </c>
      <c r="M1478" s="1" t="s">
        <v>28</v>
      </c>
    </row>
    <row r="1479" spans="1:13" x14ac:dyDescent="0.3">
      <c r="A1479" s="1" t="s">
        <v>2309</v>
      </c>
      <c r="B1479" s="2">
        <v>45958</v>
      </c>
      <c r="C1479" s="1" t="s">
        <v>398</v>
      </c>
      <c r="D1479" s="1" t="s">
        <v>399</v>
      </c>
      <c r="E1479" s="1" t="s">
        <v>74</v>
      </c>
      <c r="F1479" s="1" t="s">
        <v>69</v>
      </c>
      <c r="G1479" s="1" t="s">
        <v>32</v>
      </c>
      <c r="H1479" s="1" t="s">
        <v>38</v>
      </c>
      <c r="I1479">
        <v>5</v>
      </c>
      <c r="J1479">
        <v>70107.63</v>
      </c>
      <c r="K1479">
        <v>0.15</v>
      </c>
      <c r="L1479">
        <v>16271.1</v>
      </c>
      <c r="M1479" s="1" t="s">
        <v>39</v>
      </c>
    </row>
    <row r="1480" spans="1:13" x14ac:dyDescent="0.3">
      <c r="A1480" s="1" t="s">
        <v>2310</v>
      </c>
      <c r="B1480" s="2">
        <v>45755</v>
      </c>
      <c r="C1480" s="1" t="s">
        <v>856</v>
      </c>
      <c r="D1480" s="1" t="s">
        <v>857</v>
      </c>
      <c r="E1480" s="1" t="s">
        <v>74</v>
      </c>
      <c r="F1480" s="1" t="s">
        <v>25</v>
      </c>
      <c r="G1480" s="1" t="s">
        <v>32</v>
      </c>
      <c r="H1480" s="1" t="s">
        <v>33</v>
      </c>
      <c r="I1480">
        <v>10</v>
      </c>
      <c r="J1480">
        <v>81832.160000000003</v>
      </c>
      <c r="K1480">
        <v>0.1</v>
      </c>
      <c r="L1480">
        <v>20207.46</v>
      </c>
      <c r="M1480" s="1" t="s">
        <v>50</v>
      </c>
    </row>
    <row r="1481" spans="1:13" x14ac:dyDescent="0.3">
      <c r="A1481" s="1" t="s">
        <v>2311</v>
      </c>
      <c r="B1481" s="2">
        <v>45788</v>
      </c>
      <c r="C1481" s="1" t="s">
        <v>395</v>
      </c>
      <c r="D1481" s="1" t="s">
        <v>396</v>
      </c>
      <c r="E1481" s="1" t="s">
        <v>43</v>
      </c>
      <c r="F1481" s="1" t="s">
        <v>25</v>
      </c>
      <c r="G1481" s="1" t="s">
        <v>32</v>
      </c>
      <c r="H1481" s="1" t="s">
        <v>38</v>
      </c>
      <c r="I1481">
        <v>6</v>
      </c>
      <c r="J1481">
        <v>75984.78</v>
      </c>
      <c r="K1481">
        <v>0.1</v>
      </c>
      <c r="L1481">
        <v>17692.810000000001</v>
      </c>
      <c r="M1481" s="1" t="s">
        <v>28</v>
      </c>
    </row>
    <row r="1482" spans="1:13" x14ac:dyDescent="0.3">
      <c r="A1482" s="1" t="s">
        <v>2312</v>
      </c>
      <c r="B1482" s="2">
        <v>45950</v>
      </c>
      <c r="C1482" s="1" t="s">
        <v>1883</v>
      </c>
      <c r="D1482" s="1" t="s">
        <v>1884</v>
      </c>
      <c r="E1482" s="1" t="s">
        <v>37</v>
      </c>
      <c r="F1482" s="1" t="s">
        <v>25</v>
      </c>
      <c r="G1482" s="1" t="s">
        <v>32</v>
      </c>
      <c r="H1482" s="1" t="s">
        <v>54</v>
      </c>
      <c r="I1482">
        <v>9</v>
      </c>
      <c r="J1482">
        <v>136459.07999999999</v>
      </c>
      <c r="K1482">
        <v>0.2</v>
      </c>
      <c r="L1482">
        <v>26591.35</v>
      </c>
      <c r="M1482" s="1" t="s">
        <v>20</v>
      </c>
    </row>
    <row r="1483" spans="1:13" x14ac:dyDescent="0.3">
      <c r="A1483" s="1" t="s">
        <v>2313</v>
      </c>
      <c r="B1483" s="2">
        <v>45828</v>
      </c>
      <c r="C1483" s="1" t="s">
        <v>1113</v>
      </c>
      <c r="D1483" s="1" t="s">
        <v>1114</v>
      </c>
      <c r="E1483" s="1" t="s">
        <v>37</v>
      </c>
      <c r="F1483" s="1" t="s">
        <v>17</v>
      </c>
      <c r="G1483" s="1" t="s">
        <v>18</v>
      </c>
      <c r="H1483" s="1" t="s">
        <v>145</v>
      </c>
      <c r="I1483">
        <v>1</v>
      </c>
      <c r="J1483">
        <v>1165.54</v>
      </c>
      <c r="K1483">
        <v>0.1</v>
      </c>
      <c r="L1483">
        <v>381.28</v>
      </c>
      <c r="M1483" s="1" t="s">
        <v>55</v>
      </c>
    </row>
    <row r="1484" spans="1:13" x14ac:dyDescent="0.3">
      <c r="A1484" s="1" t="s">
        <v>2314</v>
      </c>
      <c r="B1484" s="2">
        <v>45840</v>
      </c>
      <c r="C1484" s="1" t="s">
        <v>163</v>
      </c>
      <c r="D1484" s="1" t="s">
        <v>164</v>
      </c>
      <c r="E1484" s="1" t="s">
        <v>43</v>
      </c>
      <c r="F1484" s="1" t="s">
        <v>25</v>
      </c>
      <c r="G1484" s="1" t="s">
        <v>18</v>
      </c>
      <c r="H1484" s="1" t="s">
        <v>97</v>
      </c>
      <c r="I1484">
        <v>6</v>
      </c>
      <c r="J1484">
        <v>9870.33</v>
      </c>
      <c r="K1484">
        <v>0</v>
      </c>
      <c r="L1484">
        <v>3111.45</v>
      </c>
      <c r="M1484" s="1" t="s">
        <v>39</v>
      </c>
    </row>
    <row r="1485" spans="1:13" x14ac:dyDescent="0.3">
      <c r="A1485" s="1" t="s">
        <v>2315</v>
      </c>
      <c r="B1485" s="2">
        <v>46021</v>
      </c>
      <c r="C1485" s="1" t="s">
        <v>457</v>
      </c>
      <c r="D1485" s="1" t="s">
        <v>458</v>
      </c>
      <c r="E1485" s="1" t="s">
        <v>37</v>
      </c>
      <c r="F1485" s="1" t="s">
        <v>17</v>
      </c>
      <c r="G1485" s="1" t="s">
        <v>26</v>
      </c>
      <c r="H1485" s="1" t="s">
        <v>244</v>
      </c>
      <c r="I1485">
        <v>6</v>
      </c>
      <c r="J1485">
        <v>21488.93</v>
      </c>
      <c r="K1485">
        <v>0.15</v>
      </c>
      <c r="L1485">
        <v>4404.34</v>
      </c>
      <c r="M1485" s="1" t="s">
        <v>55</v>
      </c>
    </row>
    <row r="1486" spans="1:13" x14ac:dyDescent="0.3">
      <c r="A1486" s="1" t="s">
        <v>2316</v>
      </c>
      <c r="B1486" s="2">
        <v>45696</v>
      </c>
      <c r="C1486" s="1" t="s">
        <v>472</v>
      </c>
      <c r="D1486" s="1" t="s">
        <v>473</v>
      </c>
      <c r="E1486" s="1" t="s">
        <v>43</v>
      </c>
      <c r="F1486" s="1" t="s">
        <v>25</v>
      </c>
      <c r="G1486" s="1" t="s">
        <v>18</v>
      </c>
      <c r="H1486" s="1" t="s">
        <v>19</v>
      </c>
      <c r="I1486">
        <v>5</v>
      </c>
      <c r="J1486">
        <v>6944</v>
      </c>
      <c r="K1486">
        <v>0.05</v>
      </c>
      <c r="L1486">
        <v>1653.03</v>
      </c>
      <c r="M1486" s="1" t="s">
        <v>50</v>
      </c>
    </row>
    <row r="1487" spans="1:13" x14ac:dyDescent="0.3">
      <c r="A1487" s="1" t="s">
        <v>2317</v>
      </c>
      <c r="B1487" s="2">
        <v>45672</v>
      </c>
      <c r="C1487" s="1" t="s">
        <v>320</v>
      </c>
      <c r="D1487" s="1" t="s">
        <v>321</v>
      </c>
      <c r="E1487" s="1" t="s">
        <v>37</v>
      </c>
      <c r="F1487" s="1" t="s">
        <v>25</v>
      </c>
      <c r="G1487" s="1" t="s">
        <v>32</v>
      </c>
      <c r="H1487" s="1" t="s">
        <v>38</v>
      </c>
      <c r="I1487">
        <v>9</v>
      </c>
      <c r="J1487">
        <v>59465.16</v>
      </c>
      <c r="K1487">
        <v>0.2</v>
      </c>
      <c r="L1487">
        <v>11356.29</v>
      </c>
      <c r="M1487" s="1" t="s">
        <v>55</v>
      </c>
    </row>
    <row r="1488" spans="1:13" x14ac:dyDescent="0.3">
      <c r="A1488" s="1" t="s">
        <v>2318</v>
      </c>
      <c r="B1488" s="2">
        <v>45661</v>
      </c>
      <c r="C1488" s="1" t="s">
        <v>671</v>
      </c>
      <c r="D1488" s="1" t="s">
        <v>672</v>
      </c>
      <c r="E1488" s="1" t="s">
        <v>74</v>
      </c>
      <c r="F1488" s="1" t="s">
        <v>69</v>
      </c>
      <c r="G1488" s="1" t="s">
        <v>26</v>
      </c>
      <c r="H1488" s="1" t="s">
        <v>27</v>
      </c>
      <c r="I1488">
        <v>5</v>
      </c>
      <c r="J1488">
        <v>15707.68</v>
      </c>
      <c r="K1488">
        <v>0.2</v>
      </c>
      <c r="L1488">
        <v>4144.4399999999996</v>
      </c>
      <c r="M1488" s="1" t="s">
        <v>20</v>
      </c>
    </row>
    <row r="1489" spans="1:13" x14ac:dyDescent="0.3">
      <c r="A1489" s="1" t="s">
        <v>2319</v>
      </c>
      <c r="B1489" s="2">
        <v>46006</v>
      </c>
      <c r="C1489" s="1" t="s">
        <v>1119</v>
      </c>
      <c r="D1489" s="1" t="s">
        <v>1120</v>
      </c>
      <c r="E1489" s="1" t="s">
        <v>24</v>
      </c>
      <c r="F1489" s="1" t="s">
        <v>25</v>
      </c>
      <c r="G1489" s="1" t="s">
        <v>44</v>
      </c>
      <c r="H1489" s="1" t="s">
        <v>155</v>
      </c>
      <c r="I1489">
        <v>3</v>
      </c>
      <c r="J1489">
        <v>20156.66</v>
      </c>
      <c r="K1489">
        <v>0.15</v>
      </c>
      <c r="L1489">
        <v>4447.9399999999996</v>
      </c>
      <c r="M1489" s="1" t="s">
        <v>39</v>
      </c>
    </row>
    <row r="1490" spans="1:13" x14ac:dyDescent="0.3">
      <c r="A1490" s="1" t="s">
        <v>2320</v>
      </c>
      <c r="B1490" s="2">
        <v>45867</v>
      </c>
      <c r="C1490" s="1" t="s">
        <v>521</v>
      </c>
      <c r="D1490" s="1" t="s">
        <v>522</v>
      </c>
      <c r="E1490" s="1" t="s">
        <v>24</v>
      </c>
      <c r="F1490" s="1" t="s">
        <v>25</v>
      </c>
      <c r="G1490" s="1" t="s">
        <v>32</v>
      </c>
      <c r="H1490" s="1" t="s">
        <v>33</v>
      </c>
      <c r="I1490">
        <v>6</v>
      </c>
      <c r="J1490">
        <v>52144.13</v>
      </c>
      <c r="K1490">
        <v>0.05</v>
      </c>
      <c r="L1490">
        <v>10919.87</v>
      </c>
      <c r="M1490" s="1" t="s">
        <v>28</v>
      </c>
    </row>
    <row r="1491" spans="1:13" x14ac:dyDescent="0.3">
      <c r="A1491" s="1" t="s">
        <v>2321</v>
      </c>
      <c r="B1491" s="2">
        <v>45818</v>
      </c>
      <c r="C1491" s="1" t="s">
        <v>2226</v>
      </c>
      <c r="D1491" s="1" t="s">
        <v>2227</v>
      </c>
      <c r="E1491" s="1" t="s">
        <v>74</v>
      </c>
      <c r="F1491" s="1" t="s">
        <v>17</v>
      </c>
      <c r="G1491" s="1" t="s">
        <v>18</v>
      </c>
      <c r="H1491" s="1" t="s">
        <v>19</v>
      </c>
      <c r="I1491">
        <v>6</v>
      </c>
      <c r="J1491">
        <v>12416.68</v>
      </c>
      <c r="K1491">
        <v>0.1</v>
      </c>
      <c r="L1491">
        <v>3321.09</v>
      </c>
      <c r="M1491" s="1" t="s">
        <v>55</v>
      </c>
    </row>
    <row r="1492" spans="1:13" x14ac:dyDescent="0.3">
      <c r="A1492" s="1" t="s">
        <v>2322</v>
      </c>
      <c r="B1492" s="2">
        <v>45673</v>
      </c>
      <c r="C1492" s="1" t="s">
        <v>463</v>
      </c>
      <c r="D1492" s="1" t="s">
        <v>464</v>
      </c>
      <c r="E1492" s="1" t="s">
        <v>37</v>
      </c>
      <c r="F1492" s="1" t="s">
        <v>25</v>
      </c>
      <c r="G1492" s="1" t="s">
        <v>18</v>
      </c>
      <c r="H1492" s="1" t="s">
        <v>122</v>
      </c>
      <c r="I1492">
        <v>5</v>
      </c>
      <c r="J1492">
        <v>7247.44</v>
      </c>
      <c r="K1492">
        <v>0.25</v>
      </c>
      <c r="L1492">
        <v>1710.38</v>
      </c>
      <c r="M1492" s="1" t="s">
        <v>55</v>
      </c>
    </row>
    <row r="1493" spans="1:13" x14ac:dyDescent="0.3">
      <c r="A1493" s="1" t="s">
        <v>2323</v>
      </c>
      <c r="B1493" s="2">
        <v>45765</v>
      </c>
      <c r="C1493" s="1" t="s">
        <v>57</v>
      </c>
      <c r="D1493" s="1" t="s">
        <v>58</v>
      </c>
      <c r="E1493" s="1" t="s">
        <v>74</v>
      </c>
      <c r="F1493" s="1" t="s">
        <v>25</v>
      </c>
      <c r="G1493" s="1" t="s">
        <v>44</v>
      </c>
      <c r="H1493" s="1" t="s">
        <v>45</v>
      </c>
      <c r="I1493">
        <v>9</v>
      </c>
      <c r="J1493">
        <v>106800.19</v>
      </c>
      <c r="K1493">
        <v>0.15</v>
      </c>
      <c r="L1493">
        <v>16854.990000000002</v>
      </c>
      <c r="M1493" s="1" t="s">
        <v>55</v>
      </c>
    </row>
    <row r="1494" spans="1:13" x14ac:dyDescent="0.3">
      <c r="A1494" s="1" t="s">
        <v>2324</v>
      </c>
      <c r="B1494" s="2">
        <v>45968</v>
      </c>
      <c r="C1494" s="1" t="s">
        <v>1446</v>
      </c>
      <c r="D1494" s="1" t="s">
        <v>1447</v>
      </c>
      <c r="E1494" s="1" t="s">
        <v>16</v>
      </c>
      <c r="F1494" s="1" t="s">
        <v>25</v>
      </c>
      <c r="G1494" s="1" t="s">
        <v>26</v>
      </c>
      <c r="H1494" s="1" t="s">
        <v>27</v>
      </c>
      <c r="I1494">
        <v>6</v>
      </c>
      <c r="J1494">
        <v>11813.92</v>
      </c>
      <c r="K1494">
        <v>0.15</v>
      </c>
      <c r="L1494">
        <v>3440.45</v>
      </c>
      <c r="M1494" s="1" t="s">
        <v>39</v>
      </c>
    </row>
    <row r="1495" spans="1:13" x14ac:dyDescent="0.3">
      <c r="A1495" s="1" t="s">
        <v>2325</v>
      </c>
      <c r="B1495" s="2">
        <v>45884</v>
      </c>
      <c r="C1495" s="1" t="s">
        <v>632</v>
      </c>
      <c r="D1495" s="1" t="s">
        <v>633</v>
      </c>
      <c r="E1495" s="1" t="s">
        <v>16</v>
      </c>
      <c r="F1495" s="1" t="s">
        <v>69</v>
      </c>
      <c r="G1495" s="1" t="s">
        <v>44</v>
      </c>
      <c r="H1495" s="1" t="s">
        <v>75</v>
      </c>
      <c r="I1495">
        <v>6</v>
      </c>
      <c r="J1495">
        <v>62790.49</v>
      </c>
      <c r="K1495">
        <v>0</v>
      </c>
      <c r="L1495">
        <v>10685.16</v>
      </c>
      <c r="M1495" s="1" t="s">
        <v>55</v>
      </c>
    </row>
    <row r="1496" spans="1:13" x14ac:dyDescent="0.3">
      <c r="A1496" s="1" t="s">
        <v>2326</v>
      </c>
      <c r="B1496" s="2">
        <v>45827</v>
      </c>
      <c r="C1496" s="1" t="s">
        <v>558</v>
      </c>
      <c r="D1496" s="1" t="s">
        <v>559</v>
      </c>
      <c r="E1496" s="1" t="s">
        <v>43</v>
      </c>
      <c r="F1496" s="1" t="s">
        <v>25</v>
      </c>
      <c r="G1496" s="1" t="s">
        <v>26</v>
      </c>
      <c r="H1496" s="1" t="s">
        <v>27</v>
      </c>
      <c r="I1496">
        <v>2</v>
      </c>
      <c r="J1496">
        <v>7859.37</v>
      </c>
      <c r="K1496">
        <v>0.2</v>
      </c>
      <c r="L1496">
        <v>2178.08</v>
      </c>
      <c r="M1496" s="1" t="s">
        <v>55</v>
      </c>
    </row>
    <row r="1497" spans="1:13" x14ac:dyDescent="0.3">
      <c r="A1497" s="1" t="s">
        <v>2327</v>
      </c>
      <c r="B1497" s="2">
        <v>45691</v>
      </c>
      <c r="C1497" s="1" t="s">
        <v>326</v>
      </c>
      <c r="D1497" s="1" t="s">
        <v>327</v>
      </c>
      <c r="E1497" s="1" t="s">
        <v>16</v>
      </c>
      <c r="F1497" s="1" t="s">
        <v>25</v>
      </c>
      <c r="G1497" s="1" t="s">
        <v>32</v>
      </c>
      <c r="H1497" s="1" t="s">
        <v>38</v>
      </c>
      <c r="I1497">
        <v>6</v>
      </c>
      <c r="J1497">
        <v>55329.34</v>
      </c>
      <c r="K1497">
        <v>0.05</v>
      </c>
      <c r="L1497">
        <v>10315.01</v>
      </c>
      <c r="M1497" s="1" t="s">
        <v>28</v>
      </c>
    </row>
    <row r="1498" spans="1:13" x14ac:dyDescent="0.3">
      <c r="A1498" s="1" t="s">
        <v>2328</v>
      </c>
      <c r="B1498" s="2">
        <v>45908</v>
      </c>
      <c r="C1498" s="1" t="s">
        <v>273</v>
      </c>
      <c r="D1498" s="1" t="s">
        <v>274</v>
      </c>
      <c r="E1498" s="1" t="s">
        <v>16</v>
      </c>
      <c r="F1498" s="1" t="s">
        <v>25</v>
      </c>
      <c r="G1498" s="1" t="s">
        <v>32</v>
      </c>
      <c r="H1498" s="1" t="s">
        <v>54</v>
      </c>
      <c r="I1498">
        <v>1</v>
      </c>
      <c r="J1498">
        <v>7504.59</v>
      </c>
      <c r="K1498">
        <v>0.1</v>
      </c>
      <c r="L1498">
        <v>1920.66</v>
      </c>
      <c r="M1498" s="1" t="s">
        <v>28</v>
      </c>
    </row>
    <row r="1499" spans="1:13" x14ac:dyDescent="0.3">
      <c r="A1499" s="1" t="s">
        <v>2329</v>
      </c>
      <c r="B1499" s="2">
        <v>45904</v>
      </c>
      <c r="C1499" s="1" t="s">
        <v>2330</v>
      </c>
      <c r="D1499" s="1" t="s">
        <v>2331</v>
      </c>
      <c r="E1499" s="1" t="s">
        <v>16</v>
      </c>
      <c r="F1499" s="1" t="s">
        <v>17</v>
      </c>
      <c r="G1499" s="1" t="s">
        <v>26</v>
      </c>
      <c r="H1499" s="1" t="s">
        <v>231</v>
      </c>
      <c r="I1499">
        <v>3</v>
      </c>
      <c r="J1499">
        <v>11015.34</v>
      </c>
      <c r="K1499">
        <v>0.05</v>
      </c>
      <c r="L1499">
        <v>2331.6799999999998</v>
      </c>
      <c r="M1499" s="1" t="s">
        <v>55</v>
      </c>
    </row>
    <row r="1500" spans="1:13" x14ac:dyDescent="0.3">
      <c r="A1500" s="1" t="s">
        <v>2332</v>
      </c>
      <c r="B1500" s="2">
        <v>45926</v>
      </c>
      <c r="C1500" s="1" t="s">
        <v>1145</v>
      </c>
      <c r="D1500" s="1" t="s">
        <v>1146</v>
      </c>
      <c r="E1500" s="1" t="s">
        <v>24</v>
      </c>
      <c r="F1500" s="1" t="s">
        <v>25</v>
      </c>
      <c r="G1500" s="1" t="s">
        <v>32</v>
      </c>
      <c r="H1500" s="1" t="s">
        <v>54</v>
      </c>
      <c r="I1500">
        <v>1</v>
      </c>
      <c r="J1500">
        <v>14760.9</v>
      </c>
      <c r="K1500">
        <v>0.2</v>
      </c>
      <c r="L1500">
        <v>3659.07</v>
      </c>
      <c r="M1500" s="1" t="s">
        <v>50</v>
      </c>
    </row>
    <row r="1501" spans="1:13" x14ac:dyDescent="0.3">
      <c r="A1501" s="1" t="s">
        <v>2333</v>
      </c>
      <c r="B1501" s="2">
        <v>45798</v>
      </c>
      <c r="C1501" s="1" t="s">
        <v>187</v>
      </c>
      <c r="D1501" s="1" t="s">
        <v>188</v>
      </c>
      <c r="E1501" s="1" t="s">
        <v>16</v>
      </c>
      <c r="F1501" s="1" t="s">
        <v>69</v>
      </c>
      <c r="G1501" s="1" t="s">
        <v>18</v>
      </c>
      <c r="H1501" s="1" t="s">
        <v>97</v>
      </c>
      <c r="I1501">
        <v>4</v>
      </c>
      <c r="J1501">
        <v>6488.69</v>
      </c>
      <c r="K1501">
        <v>0</v>
      </c>
      <c r="L1501">
        <v>2126.3000000000002</v>
      </c>
      <c r="M1501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1C1F-F303-45CA-85C4-C9B590F61426}">
  <dimension ref="A1:B8"/>
  <sheetViews>
    <sheetView workbookViewId="0">
      <selection activeCell="B8" sqref="B8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2334</v>
      </c>
    </row>
    <row r="3" spans="1:2" x14ac:dyDescent="0.3">
      <c r="A3" t="s">
        <v>2335</v>
      </c>
      <c r="B3">
        <f>COUNTA(SalesData[Order_ID])</f>
        <v>1500</v>
      </c>
    </row>
    <row r="4" spans="1:2" x14ac:dyDescent="0.3">
      <c r="A4" t="s">
        <v>2336</v>
      </c>
      <c r="B4">
        <f>COUNTA(_xlfn.UNIQUE(SalesData[Customer_ID]))</f>
        <v>392</v>
      </c>
    </row>
    <row r="5" spans="1:2" x14ac:dyDescent="0.3">
      <c r="A5" t="s">
        <v>2337</v>
      </c>
      <c r="B5">
        <f>SUM(SalesData[Quantity])</f>
        <v>8376</v>
      </c>
    </row>
    <row r="6" spans="1:2" x14ac:dyDescent="0.3">
      <c r="A6" t="s">
        <v>2338</v>
      </c>
      <c r="B6">
        <f>SUM(SalesData[Sales])</f>
        <v>59209163.19000005</v>
      </c>
    </row>
    <row r="7" spans="1:2" x14ac:dyDescent="0.3">
      <c r="A7" t="s">
        <v>2339</v>
      </c>
      <c r="B7">
        <f>SUM(SalesData[Profit])</f>
        <v>12614282.589999985</v>
      </c>
    </row>
    <row r="8" spans="1:2" x14ac:dyDescent="0.3">
      <c r="A8" t="s">
        <v>2340</v>
      </c>
      <c r="B8" s="3">
        <f>B7/B6</f>
        <v>0.21304612175519541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D0DB-2699-4A34-8AF6-99DB1B3427A6}">
  <dimension ref="A1:F5"/>
  <sheetViews>
    <sheetView workbookViewId="0">
      <selection activeCell="L16" sqref="L16"/>
    </sheetView>
  </sheetViews>
  <sheetFormatPr defaultRowHeight="14.4" x14ac:dyDescent="0.3"/>
  <cols>
    <col min="2" max="2" width="11" bestFit="1" customWidth="1"/>
  </cols>
  <sheetData>
    <row r="1" spans="1:6" x14ac:dyDescent="0.3">
      <c r="A1" t="s">
        <v>6</v>
      </c>
      <c r="B1" t="s">
        <v>2335</v>
      </c>
      <c r="C1" t="s">
        <v>2337</v>
      </c>
      <c r="D1" t="s">
        <v>2338</v>
      </c>
      <c r="E1" t="s">
        <v>2339</v>
      </c>
      <c r="F1" t="s">
        <v>2340</v>
      </c>
    </row>
    <row r="2" spans="1:6" x14ac:dyDescent="0.3">
      <c r="A2" t="s">
        <v>32</v>
      </c>
      <c r="B2">
        <f>COUNTIF(SalesData[Category],A2)</f>
        <v>456</v>
      </c>
      <c r="C2">
        <f>SUMIF(SalesData[Category],A2,SalesData[Quantity])</f>
        <v>2499</v>
      </c>
      <c r="D2">
        <f>SUMIF(SalesData[Category],A2,SalesData[Sales])</f>
        <v>32955104.640000008</v>
      </c>
      <c r="E2">
        <f>SUMIF(SalesData[Category],A2,SalesData[Profit])</f>
        <v>7202628.7600000044</v>
      </c>
      <c r="F2" s="3">
        <f>E2/D2</f>
        <v>0.21855881929920046</v>
      </c>
    </row>
    <row r="3" spans="1:6" x14ac:dyDescent="0.3">
      <c r="A3" t="s">
        <v>18</v>
      </c>
      <c r="B3">
        <f>COUNTIF(SalesData[Category],A3)</f>
        <v>412</v>
      </c>
      <c r="C3">
        <f>SUMIF(SalesData[Category],A3,SalesData[Quantity])</f>
        <v>2274</v>
      </c>
      <c r="D3">
        <f>SUMIF(SalesData[Category],A3,SalesData[Sales])</f>
        <v>3784400.0500000007</v>
      </c>
      <c r="E3">
        <f>SUMIF(SalesData[Category],A3,SalesData[Profit])</f>
        <v>1050322.7299999997</v>
      </c>
      <c r="F3" s="3">
        <f t="shared" ref="F3:F5" si="0">E3/D3</f>
        <v>0.27754008987501189</v>
      </c>
    </row>
    <row r="4" spans="1:6" x14ac:dyDescent="0.3">
      <c r="A4" t="s">
        <v>44</v>
      </c>
      <c r="B4">
        <f>COUNTIF(SalesData[Category],A4)</f>
        <v>339</v>
      </c>
      <c r="C4">
        <f>SUMIF(SalesData[Category],A4,SalesData[Quantity])</f>
        <v>1985</v>
      </c>
      <c r="D4">
        <f>SUMIF(SalesData[Category],A4,SalesData[Sales])</f>
        <v>17739458.479999993</v>
      </c>
      <c r="E4">
        <f>SUMIF(SalesData[Category],A4,SalesData[Profit])</f>
        <v>3183060.64</v>
      </c>
      <c r="F4" s="3">
        <f t="shared" si="0"/>
        <v>0.17943392373497083</v>
      </c>
    </row>
    <row r="5" spans="1:6" x14ac:dyDescent="0.3">
      <c r="A5" t="s">
        <v>26</v>
      </c>
      <c r="B5">
        <f>COUNTIF(SalesData[Category],A5)</f>
        <v>293</v>
      </c>
      <c r="C5">
        <f>SUMIF(SalesData[Category],A5,SalesData[Quantity])</f>
        <v>1618</v>
      </c>
      <c r="D5">
        <f>SUMIF(SalesData[Category],A5,SalesData[Sales])</f>
        <v>4730200.0200000005</v>
      </c>
      <c r="E5">
        <f>SUMIF(SalesData[Category],A5,SalesData[Profit])</f>
        <v>1178270.4599999993</v>
      </c>
      <c r="F5" s="3">
        <f t="shared" si="0"/>
        <v>0.24909527187393635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BC411-32D7-4E83-B95A-F08C9D73BAF6}">
  <dimension ref="A1:G4"/>
  <sheetViews>
    <sheetView workbookViewId="0">
      <selection activeCell="H11" sqref="H11"/>
    </sheetView>
  </sheetViews>
  <sheetFormatPr defaultRowHeight="14.4" x14ac:dyDescent="0.3"/>
  <cols>
    <col min="1" max="1" width="12.6640625" bestFit="1" customWidth="1"/>
    <col min="4" max="4" width="11" bestFit="1" customWidth="1"/>
  </cols>
  <sheetData>
    <row r="1" spans="1:7" x14ac:dyDescent="0.3">
      <c r="A1" t="s">
        <v>5</v>
      </c>
      <c r="B1" t="s">
        <v>2335</v>
      </c>
      <c r="C1" t="s">
        <v>2336</v>
      </c>
      <c r="D1" t="s">
        <v>2338</v>
      </c>
      <c r="E1" t="s">
        <v>2339</v>
      </c>
      <c r="F1" t="s">
        <v>2340</v>
      </c>
      <c r="G1" t="s">
        <v>2341</v>
      </c>
    </row>
    <row r="2" spans="1:7" x14ac:dyDescent="0.3">
      <c r="A2" t="s">
        <v>25</v>
      </c>
      <c r="B2">
        <f>COUNTIF(SalesData[Segment],A2)</f>
        <v>848</v>
      </c>
      <c r="C2" cm="1">
        <f t="array" ref="C2">COUNTA(_xlfn.UNIQUE(_xlfn._xlws.FILTER(SalesData[Customer_ID],SalesData[Segment]=A2)))</f>
        <v>348</v>
      </c>
      <c r="D2">
        <f>SUMIF(SalesData[Segment],A2,SalesData[Sales])</f>
        <v>33125593.480000004</v>
      </c>
      <c r="E2">
        <f>SUMIF(SalesData[Segment],A2,SalesData[Profit])</f>
        <v>7125963.4200000083</v>
      </c>
      <c r="F2" s="4">
        <f>E2/D2</f>
        <v>0.21511956983660985</v>
      </c>
      <c r="G2">
        <f>D2/B2</f>
        <v>39063.199858490574</v>
      </c>
    </row>
    <row r="3" spans="1:7" x14ac:dyDescent="0.3">
      <c r="A3" t="s">
        <v>69</v>
      </c>
      <c r="B3">
        <f>COUNTIF(SalesData[Segment],A3)</f>
        <v>423</v>
      </c>
      <c r="C3" cm="1">
        <f t="array" ref="C3">COUNTA(_xlfn.UNIQUE(_xlfn._xlws.FILTER(SalesData[Customer_ID],SalesData[Segment]=A3)))</f>
        <v>264</v>
      </c>
      <c r="D3">
        <f>SUMIF(SalesData[Segment],A3,SalesData[Sales])</f>
        <v>17807366.039999992</v>
      </c>
      <c r="E3">
        <f>SUMIF(SalesData[Segment],A3,SalesData[Profit])</f>
        <v>3711341.509999997</v>
      </c>
      <c r="F3" s="4">
        <f t="shared" ref="F3:F4" si="0">E3/D3</f>
        <v>0.20841608476308934</v>
      </c>
      <c r="G3">
        <f t="shared" ref="G3:G4" si="1">D3/B3</f>
        <v>42097.79205673757</v>
      </c>
    </row>
    <row r="4" spans="1:7" x14ac:dyDescent="0.3">
      <c r="A4" t="s">
        <v>17</v>
      </c>
      <c r="B4">
        <f>COUNTIF(SalesData[Segment],A4)</f>
        <v>229</v>
      </c>
      <c r="C4" cm="1">
        <f t="array" ref="C4">COUNTA(_xlfn.UNIQUE(_xlfn._xlws.FILTER(SalesData[Customer_ID],SalesData[Segment]=A4)))</f>
        <v>176</v>
      </c>
      <c r="D4">
        <f>SUMIF(SalesData[Segment],A4,SalesData[Sales])</f>
        <v>8276203.6699999953</v>
      </c>
      <c r="E4">
        <f>SUMIF(SalesData[Segment],A4,SalesData[Profit])</f>
        <v>1776977.66</v>
      </c>
      <c r="F4" s="4">
        <f t="shared" si="0"/>
        <v>0.21470927140680202</v>
      </c>
      <c r="G4">
        <f t="shared" si="1"/>
        <v>36140.627379912643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0824-44FF-436E-AB26-54D7C6848144}">
  <dimension ref="A1:D13"/>
  <sheetViews>
    <sheetView tabSelected="1" workbookViewId="0">
      <selection activeCell="F4" sqref="F4"/>
    </sheetView>
  </sheetViews>
  <sheetFormatPr defaultRowHeight="14.4" x14ac:dyDescent="0.3"/>
  <cols>
    <col min="3" max="4" width="12.88671875" bestFit="1" customWidth="1"/>
  </cols>
  <sheetData>
    <row r="1" spans="1:4" x14ac:dyDescent="0.3">
      <c r="A1" t="s">
        <v>2342</v>
      </c>
      <c r="B1" t="s">
        <v>2335</v>
      </c>
      <c r="C1" t="s">
        <v>2338</v>
      </c>
      <c r="D1" t="s">
        <v>2339</v>
      </c>
    </row>
    <row r="2" spans="1:4" x14ac:dyDescent="0.3">
      <c r="A2" t="s">
        <v>2343</v>
      </c>
      <c r="B2">
        <f>COUNTIFS(SalesData[Order_Date],"&gt;="&amp;DATE(LEFT(A2,4),RIGHT(A2,2),1),
          SalesData[Order_Date],"&lt;"&amp;EOMONTH(DATE(LEFT(A2,4),RIGHT(A2,2),1),0)+1)</f>
        <v>123</v>
      </c>
      <c r="C2" s="5">
        <f>SUMIFS(SalesData[Sales],
        SalesData[Order_Date],"&gt;="&amp;DATE(LEFT(A2,4),RIGHT(A2,2),1),
        SalesData[Order_Date],"&lt;"&amp;EOMONTH(DATE(LEFT(A2,4),RIGHT(A2,2),1),0)+1)</f>
        <v>5083756.209999999</v>
      </c>
      <c r="D2" s="5">
        <f>SUMIFS(SalesData[Profit],
        SalesData[Order_Date],"&gt;="&amp;DATE(LEFT(A2,4),RIGHT(A2,2),1),
        SalesData[Order_Date],"&lt;"&amp;EOMONTH(DATE(LEFT(A2,4),RIGHT(A2,2),1),0)+1)</f>
        <v>1068101.1299999997</v>
      </c>
    </row>
    <row r="3" spans="1:4" x14ac:dyDescent="0.3">
      <c r="A3" t="s">
        <v>2344</v>
      </c>
      <c r="B3">
        <f>COUNTIFS(SalesData[Order_Date],"&gt;="&amp;DATE(LEFT(A3,4),RIGHT(A3,2),1),
          SalesData[Order_Date],"&lt;"&amp;EOMONTH(DATE(LEFT(A3,4),RIGHT(A3,2),1),0)+1)</f>
        <v>125</v>
      </c>
      <c r="C3" s="5">
        <f>SUMIFS(SalesData[Sales],
        SalesData[Order_Date],"&gt;="&amp;DATE(LEFT(A3,4),RIGHT(A3,2),1),
        SalesData[Order_Date],"&lt;"&amp;EOMONTH(DATE(LEFT(A3,4),RIGHT(A3,2),1),0)+1)</f>
        <v>5075259.6899999985</v>
      </c>
      <c r="D3" s="5">
        <f>SUMIFS(SalesData[Profit],
        SalesData[Order_Date],"&gt;="&amp;DATE(LEFT(A3,4),RIGHT(A3,2),1),
        SalesData[Order_Date],"&lt;"&amp;EOMONTH(DATE(LEFT(A3,4),RIGHT(A3,2),1),0)+1)</f>
        <v>1085080.9599999997</v>
      </c>
    </row>
    <row r="4" spans="1:4" x14ac:dyDescent="0.3">
      <c r="A4" t="s">
        <v>2345</v>
      </c>
      <c r="B4">
        <f>COUNTIFS(SalesData[Order_Date],"&gt;="&amp;DATE(LEFT(A4,4),RIGHT(A4,2),1),
          SalesData[Order_Date],"&lt;"&amp;EOMONTH(DATE(LEFT(A4,4),RIGHT(A4,2),1),0)+1)</f>
        <v>98</v>
      </c>
      <c r="C4" s="5">
        <f>SUMIFS(SalesData[Sales],
        SalesData[Order_Date],"&gt;="&amp;DATE(LEFT(A4,4),RIGHT(A4,2),1),
        SalesData[Order_Date],"&lt;"&amp;EOMONTH(DATE(LEFT(A4,4),RIGHT(A4,2),1),0)+1)</f>
        <v>3974390.23</v>
      </c>
      <c r="D4" s="5">
        <f>SUMIFS(SalesData[Profit],
        SalesData[Order_Date],"&gt;="&amp;DATE(LEFT(A4,4),RIGHT(A4,2),1),
        SalesData[Order_Date],"&lt;"&amp;EOMONTH(DATE(LEFT(A4,4),RIGHT(A4,2),1),0)+1)</f>
        <v>867376.22000000009</v>
      </c>
    </row>
    <row r="5" spans="1:4" x14ac:dyDescent="0.3">
      <c r="A5" t="s">
        <v>2346</v>
      </c>
      <c r="B5">
        <f>COUNTIFS(SalesData[Order_Date],"&gt;="&amp;DATE(LEFT(A5,4),RIGHT(A5,2),1),
          SalesData[Order_Date],"&lt;"&amp;EOMONTH(DATE(LEFT(A5,4),RIGHT(A5,2),1),0)+1)</f>
        <v>137</v>
      </c>
      <c r="C5" s="5">
        <f>SUMIFS(SalesData[Sales],
        SalesData[Order_Date],"&gt;="&amp;DATE(LEFT(A5,4),RIGHT(A5,2),1),
        SalesData[Order_Date],"&lt;"&amp;EOMONTH(DATE(LEFT(A5,4),RIGHT(A5,2),1),0)+1)</f>
        <v>4716182.1800000034</v>
      </c>
      <c r="D5" s="5">
        <f>SUMIFS(SalesData[Profit],
        SalesData[Order_Date],"&gt;="&amp;DATE(LEFT(A5,4),RIGHT(A5,2),1),
        SalesData[Order_Date],"&lt;"&amp;EOMONTH(DATE(LEFT(A5,4),RIGHT(A5,2),1),0)+1)</f>
        <v>1013146.24</v>
      </c>
    </row>
    <row r="6" spans="1:4" x14ac:dyDescent="0.3">
      <c r="A6" t="s">
        <v>2347</v>
      </c>
      <c r="B6">
        <f>COUNTIFS(SalesData[Order_Date],"&gt;="&amp;DATE(LEFT(A6,4),RIGHT(A6,2),1),
          SalesData[Order_Date],"&lt;"&amp;EOMONTH(DATE(LEFT(A6,4),RIGHT(A6,2),1),0)+1)</f>
        <v>138</v>
      </c>
      <c r="C6" s="5">
        <f>SUMIFS(SalesData[Sales],
        SalesData[Order_Date],"&gt;="&amp;DATE(LEFT(A6,4),RIGHT(A6,2),1),
        SalesData[Order_Date],"&lt;"&amp;EOMONTH(DATE(LEFT(A6,4),RIGHT(A6,2),1),0)+1)</f>
        <v>5055311.4399999995</v>
      </c>
      <c r="D6" s="5">
        <f>SUMIFS(SalesData[Profit],
        SalesData[Order_Date],"&gt;="&amp;DATE(LEFT(A6,4),RIGHT(A6,2),1),
        SalesData[Order_Date],"&lt;"&amp;EOMONTH(DATE(LEFT(A6,4),RIGHT(A6,2),1),0)+1)</f>
        <v>1082906.5299999998</v>
      </c>
    </row>
    <row r="7" spans="1:4" x14ac:dyDescent="0.3">
      <c r="A7" t="s">
        <v>2348</v>
      </c>
      <c r="B7">
        <f>COUNTIFS(SalesData[Order_Date],"&gt;="&amp;DATE(LEFT(A7,4),RIGHT(A7,2),1),
          SalesData[Order_Date],"&lt;"&amp;EOMONTH(DATE(LEFT(A7,4),RIGHT(A7,2),1),0)+1)</f>
        <v>132</v>
      </c>
      <c r="C7" s="5">
        <f>SUMIFS(SalesData[Sales],
        SalesData[Order_Date],"&gt;="&amp;DATE(LEFT(A7,4),RIGHT(A7,2),1),
        SalesData[Order_Date],"&lt;"&amp;EOMONTH(DATE(LEFT(A7,4),RIGHT(A7,2),1),0)+1)</f>
        <v>4638547.6699999971</v>
      </c>
      <c r="D7" s="5">
        <f>SUMIFS(SalesData[Profit],
        SalesData[Order_Date],"&gt;="&amp;DATE(LEFT(A7,4),RIGHT(A7,2),1),
        SalesData[Order_Date],"&lt;"&amp;EOMONTH(DATE(LEFT(A7,4),RIGHT(A7,2),1),0)+1)</f>
        <v>1013469.3900000002</v>
      </c>
    </row>
    <row r="8" spans="1:4" x14ac:dyDescent="0.3">
      <c r="A8" t="s">
        <v>2349</v>
      </c>
      <c r="B8">
        <f>COUNTIFS(SalesData[Order_Date],"&gt;="&amp;DATE(LEFT(A8,4),RIGHT(A8,2),1),
          SalesData[Order_Date],"&lt;"&amp;EOMONTH(DATE(LEFT(A8,4),RIGHT(A8,2),1),0)+1)</f>
        <v>107</v>
      </c>
      <c r="C8" s="5">
        <f>SUMIFS(SalesData[Sales],
        SalesData[Order_Date],"&gt;="&amp;DATE(LEFT(A8,4),RIGHT(A8,2),1),
        SalesData[Order_Date],"&lt;"&amp;EOMONTH(DATE(LEFT(A8,4),RIGHT(A8,2),1),0)+1)</f>
        <v>4454289.26</v>
      </c>
      <c r="D8" s="5">
        <f>SUMIFS(SalesData[Profit],
        SalesData[Order_Date],"&gt;="&amp;DATE(LEFT(A8,4),RIGHT(A8,2),1),
        SalesData[Order_Date],"&lt;"&amp;EOMONTH(DATE(LEFT(A8,4),RIGHT(A8,2),1),0)+1)</f>
        <v>959950.51</v>
      </c>
    </row>
    <row r="9" spans="1:4" x14ac:dyDescent="0.3">
      <c r="A9" t="s">
        <v>2350</v>
      </c>
      <c r="B9">
        <f>COUNTIFS(SalesData[Order_Date],"&gt;="&amp;DATE(LEFT(A9,4),RIGHT(A9,2),1),
          SalesData[Order_Date],"&lt;"&amp;EOMONTH(DATE(LEFT(A9,4),RIGHT(A9,2),1),0)+1)</f>
        <v>142</v>
      </c>
      <c r="C9" s="5">
        <f>SUMIFS(SalesData[Sales],
        SalesData[Order_Date],"&gt;="&amp;DATE(LEFT(A9,4),RIGHT(A9,2),1),
        SalesData[Order_Date],"&lt;"&amp;EOMONTH(DATE(LEFT(A9,4),RIGHT(A9,2),1),0)+1)</f>
        <v>5714434.2500000028</v>
      </c>
      <c r="D9" s="5">
        <f>SUMIFS(SalesData[Profit],
        SalesData[Order_Date],"&gt;="&amp;DATE(LEFT(A9,4),RIGHT(A9,2),1),
        SalesData[Order_Date],"&lt;"&amp;EOMONTH(DATE(LEFT(A9,4),RIGHT(A9,2),1),0)+1)</f>
        <v>1189984.3299999998</v>
      </c>
    </row>
    <row r="10" spans="1:4" x14ac:dyDescent="0.3">
      <c r="A10" t="s">
        <v>2351</v>
      </c>
      <c r="B10">
        <f>COUNTIFS(SalesData[Order_Date],"&gt;="&amp;DATE(LEFT(A10,4),RIGHT(A10,2),1),
          SalesData[Order_Date],"&lt;"&amp;EOMONTH(DATE(LEFT(A10,4),RIGHT(A10,2),1),0)+1)</f>
        <v>121</v>
      </c>
      <c r="C10" s="5">
        <f>SUMIFS(SalesData[Sales],
        SalesData[Order_Date],"&gt;="&amp;DATE(LEFT(A10,4),RIGHT(A10,2),1),
        SalesData[Order_Date],"&lt;"&amp;EOMONTH(DATE(LEFT(A10,4),RIGHT(A10,2),1),0)+1)</f>
        <v>5404221.4600000009</v>
      </c>
      <c r="D10" s="5">
        <f>SUMIFS(SalesData[Profit],
        SalesData[Order_Date],"&gt;="&amp;DATE(LEFT(A10,4),RIGHT(A10,2),1),
        SalesData[Order_Date],"&lt;"&amp;EOMONTH(DATE(LEFT(A10,4),RIGHT(A10,2),1),0)+1)</f>
        <v>1148791.5399999998</v>
      </c>
    </row>
    <row r="11" spans="1:4" x14ac:dyDescent="0.3">
      <c r="A11" t="s">
        <v>2352</v>
      </c>
      <c r="B11">
        <f>COUNTIFS(SalesData[Order_Date],"&gt;="&amp;DATE(LEFT(A11,4),RIGHT(A11,2),1),
          SalesData[Order_Date],"&lt;"&amp;EOMONTH(DATE(LEFT(A11,4),RIGHT(A11,2),1),0)+1)</f>
        <v>131</v>
      </c>
      <c r="C11" s="5">
        <f>SUMIFS(SalesData[Sales],
        SalesData[Order_Date],"&gt;="&amp;DATE(LEFT(A11,4),RIGHT(A11,2),1),
        SalesData[Order_Date],"&lt;"&amp;EOMONTH(DATE(LEFT(A11,4),RIGHT(A11,2),1),0)+1)</f>
        <v>5412115.3299999991</v>
      </c>
      <c r="D11" s="5">
        <f>SUMIFS(SalesData[Profit],
        SalesData[Order_Date],"&gt;="&amp;DATE(LEFT(A11,4),RIGHT(A11,2),1),
        SalesData[Order_Date],"&lt;"&amp;EOMONTH(DATE(LEFT(A11,4),RIGHT(A11,2),1),0)+1)</f>
        <v>1126714.3500000001</v>
      </c>
    </row>
    <row r="12" spans="1:4" x14ac:dyDescent="0.3">
      <c r="A12" t="s">
        <v>2353</v>
      </c>
      <c r="B12">
        <f>COUNTIFS(SalesData[Order_Date],"&gt;="&amp;DATE(LEFT(A12,4),RIGHT(A12,2),1),
          SalesData[Order_Date],"&lt;"&amp;EOMONTH(DATE(LEFT(A12,4),RIGHT(A12,2),1),0)+1)</f>
        <v>120</v>
      </c>
      <c r="C12" s="5">
        <f>SUMIFS(SalesData[Sales],
        SalesData[Order_Date],"&gt;="&amp;DATE(LEFT(A12,4),RIGHT(A12,2),1),
        SalesData[Order_Date],"&lt;"&amp;EOMONTH(DATE(LEFT(A12,4),RIGHT(A12,2),1),0)+1)</f>
        <v>4702487.2599999988</v>
      </c>
      <c r="D12" s="5">
        <f>SUMIFS(SalesData[Profit],
        SalesData[Order_Date],"&gt;="&amp;DATE(LEFT(A12,4),RIGHT(A12,2),1),
        SalesData[Order_Date],"&lt;"&amp;EOMONTH(DATE(LEFT(A12,4),RIGHT(A12,2),1),0)+1)</f>
        <v>1014663.1099999999</v>
      </c>
    </row>
    <row r="13" spans="1:4" x14ac:dyDescent="0.3">
      <c r="A13" t="s">
        <v>2354</v>
      </c>
      <c r="B13">
        <f>COUNTIFS(SalesData[Order_Date],"&gt;="&amp;DATE(LEFT(A13,4),RIGHT(A13,2),1),
          SalesData[Order_Date],"&lt;"&amp;EOMONTH(DATE(LEFT(A13,4),RIGHT(A13,2),1),0)+1)</f>
        <v>126</v>
      </c>
      <c r="C13" s="5">
        <f>SUMIFS(SalesData[Sales],
        SalesData[Order_Date],"&gt;="&amp;DATE(LEFT(A13,4),RIGHT(A13,2),1),
        SalesData[Order_Date],"&lt;"&amp;EOMONTH(DATE(LEFT(A13,4),RIGHT(A13,2),1),0)+1)</f>
        <v>4978168.2100000037</v>
      </c>
      <c r="D13" s="5">
        <f>SUMIFS(SalesData[Profit],
        SalesData[Order_Date],"&gt;="&amp;DATE(LEFT(A13,4),RIGHT(A13,2),1),
        SalesData[Order_Date],"&lt;"&amp;EOMONTH(DATE(LEFT(A13,4),RIGHT(A13,2),1),0)+1)</f>
        <v>1044098.2799999997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5EBB1-BA39-4810-B7E5-E3EE7AAD60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customer_sales_1500_rows</vt:lpstr>
      <vt:lpstr>Summary</vt:lpstr>
      <vt:lpstr>Category Analysis</vt:lpstr>
      <vt:lpstr>Segment Analysis</vt:lpstr>
      <vt:lpstr>Monthly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Tanushree Wankhede</dc:creator>
  <cp:lastModifiedBy>Tanushree Wankhede</cp:lastModifiedBy>
  <dcterms:created xsi:type="dcterms:W3CDTF">2026-09-28T06:57:47Z</dcterms:created>
  <dcterms:modified xsi:type="dcterms:W3CDTF">2026-09-28T08:53:05Z</dcterms:modified>
</cp:coreProperties>
</file>